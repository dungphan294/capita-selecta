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codeName="ThisWorkbook"/>
  <mc:AlternateContent xmlns:mc="http://schemas.openxmlformats.org/markup-compatibility/2006">
    <mc:Choice Requires="x15">
      <x15ac:absPath xmlns:x15ac="http://schemas.microsoft.com/office/spreadsheetml/2010/11/ac" url="/Users/vdphan/GitHub/capita-selecta/1.document/"/>
    </mc:Choice>
  </mc:AlternateContent>
  <xr:revisionPtr revIDLastSave="0" documentId="13_ncr:11_{F7D495E9-EA1B-C643-A849-F37A5592C27F}" xr6:coauthVersionLast="47" xr6:coauthVersionMax="47" xr10:uidLastSave="{00000000-0000-0000-0000-000000000000}"/>
  <bookViews>
    <workbookView xWindow="0" yWindow="800" windowWidth="41120" windowHeight="25780" xr2:uid="{00000000-000D-0000-FFFF-FFFF00000000}"/>
  </bookViews>
  <sheets>
    <sheet name="Project schedule" sheetId="11" r:id="rId1"/>
    <sheet name="About" sheetId="12" r:id="rId2"/>
  </sheets>
  <definedNames>
    <definedName name="Display_Week">'Project schedule'!$Q$2</definedName>
    <definedName name="_xlnm.Print_Titles" localSheetId="0">'Project schedule'!$4:$6</definedName>
    <definedName name="Project_Start">'Project schedule'!$Q$1</definedName>
    <definedName name="task_end" localSheetId="0">'Project schedule'!$F1</definedName>
    <definedName name="task_progress" localSheetId="0">'Project schedule'!$D1</definedName>
    <definedName name="task_start" localSheetId="0">'Project schedule'!$E1</definedName>
    <definedName name="today" localSheetId="0">TODAY()</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3" i="11" l="1"/>
  <c r="F12" i="11"/>
  <c r="E9" i="11"/>
  <c r="F9" i="11" s="1"/>
  <c r="H7" i="11"/>
  <c r="E11" i="11" l="1"/>
  <c r="E19" i="11"/>
  <c r="F11" i="11" l="1"/>
  <c r="E12" i="11" s="1"/>
  <c r="E13" i="11" s="1"/>
  <c r="F19" i="11"/>
  <c r="E20" i="11" s="1"/>
  <c r="E22" i="11"/>
  <c r="I5" i="11"/>
  <c r="H24" i="11"/>
  <c r="H23" i="11"/>
  <c r="H21" i="11"/>
  <c r="H18" i="11"/>
  <c r="H10" i="11"/>
  <c r="H8" i="11"/>
  <c r="E14" i="11" l="1"/>
  <c r="F14" i="11" s="1"/>
  <c r="E15" i="11"/>
  <c r="F15" i="11" s="1"/>
  <c r="H19" i="11"/>
  <c r="F20" i="11"/>
  <c r="H20" i="11" s="1"/>
  <c r="F22" i="11"/>
  <c r="H9" i="11"/>
  <c r="I6" i="11"/>
  <c r="E16" i="11" l="1"/>
  <c r="H22" i="11"/>
  <c r="J5" i="11"/>
  <c r="K5" i="11" s="1"/>
  <c r="L5" i="11" s="1"/>
  <c r="M5" i="11" s="1"/>
  <c r="N5" i="11" s="1"/>
  <c r="O5" i="11" s="1"/>
  <c r="P5" i="11" s="1"/>
  <c r="I4" i="11"/>
  <c r="F16" i="11" l="1"/>
  <c r="E17" i="11" s="1"/>
  <c r="F17" i="11" s="1"/>
  <c r="P4" i="11"/>
  <c r="Q5" i="11"/>
  <c r="R5" i="11" s="1"/>
  <c r="S5" i="11" s="1"/>
  <c r="T5" i="11" s="1"/>
  <c r="U5" i="11" s="1"/>
  <c r="V5" i="11" s="1"/>
  <c r="W5" i="11" s="1"/>
  <c r="J6" i="11"/>
  <c r="W4" i="11" l="1"/>
  <c r="X5" i="11"/>
  <c r="Y5" i="11" s="1"/>
  <c r="Z5" i="11" s="1"/>
  <c r="AA5" i="11" s="1"/>
  <c r="AB5" i="11" s="1"/>
  <c r="AC5" i="11" s="1"/>
  <c r="AD5" i="11" s="1"/>
  <c r="K6" i="11"/>
  <c r="AE5" i="11" l="1"/>
  <c r="AF5" i="11" s="1"/>
  <c r="AG5" i="11" s="1"/>
  <c r="AH5" i="11" s="1"/>
  <c r="AI5" i="11" s="1"/>
  <c r="AJ5" i="11" s="1"/>
  <c r="AD4" i="11"/>
  <c r="L6" i="11"/>
  <c r="AK5" i="11" l="1"/>
  <c r="AL5" i="11" s="1"/>
  <c r="AM5" i="11" s="1"/>
  <c r="AN5" i="11" s="1"/>
  <c r="AO5" i="11" s="1"/>
  <c r="AP5" i="11" s="1"/>
  <c r="AQ5" i="11" s="1"/>
  <c r="M6" i="11"/>
  <c r="AR5" i="11" l="1"/>
  <c r="AS5" i="11" s="1"/>
  <c r="AK4" i="11"/>
  <c r="N6" i="11"/>
  <c r="AT5" i="11" l="1"/>
  <c r="AS6" i="11"/>
  <c r="AR4" i="11"/>
  <c r="O6" i="11"/>
  <c r="AU5" i="11" l="1"/>
  <c r="AT6" i="11"/>
  <c r="AV5" i="11" l="1"/>
  <c r="AU6" i="11"/>
  <c r="P6" i="11"/>
  <c r="Q6" i="11"/>
  <c r="AW5" i="11" l="1"/>
  <c r="AV6" i="11"/>
  <c r="R6" i="11"/>
  <c r="AX5" i="11" l="1"/>
  <c r="AY5" i="11" s="1"/>
  <c r="AW6" i="11"/>
  <c r="S6" i="11"/>
  <c r="AY6" i="11" l="1"/>
  <c r="AZ5" i="11"/>
  <c r="AY4" i="11"/>
  <c r="AX6" i="11"/>
  <c r="T6" i="11"/>
  <c r="BA5" i="11" l="1"/>
  <c r="AZ6" i="11"/>
  <c r="U6" i="11"/>
  <c r="BA6" i="11" l="1"/>
  <c r="BB5" i="11"/>
  <c r="V6" i="11"/>
  <c r="BB6" i="11" l="1"/>
  <c r="BC5" i="11"/>
  <c r="W6" i="11"/>
  <c r="BC6" i="11" l="1"/>
  <c r="BD5" i="11"/>
  <c r="X6" i="11"/>
  <c r="BE5" i="11" l="1"/>
  <c r="BD6" i="11"/>
  <c r="Y6" i="11"/>
  <c r="BE6" i="11" l="1"/>
  <c r="BF5" i="11"/>
  <c r="Z6" i="11"/>
  <c r="BF6" i="11" l="1"/>
  <c r="BG5" i="11"/>
  <c r="BF4" i="11"/>
  <c r="AA6" i="11"/>
  <c r="BG6" i="11" l="1"/>
  <c r="BH5" i="11"/>
  <c r="AB6" i="11"/>
  <c r="BI5" i="11" l="1"/>
  <c r="BH6" i="11"/>
  <c r="AC6" i="11"/>
  <c r="BJ5" i="11" l="1"/>
  <c r="BI6" i="11"/>
  <c r="AD6" i="11"/>
  <c r="BK5" i="11" l="1"/>
  <c r="BJ6" i="11"/>
  <c r="AE6" i="11"/>
  <c r="BL5" i="11" l="1"/>
  <c r="BK6" i="11"/>
  <c r="AF6" i="11"/>
  <c r="BL6" i="11" l="1"/>
  <c r="AG6" i="11"/>
  <c r="AH6" i="11" l="1"/>
  <c r="AI6" i="11" l="1"/>
  <c r="AJ6" i="11" l="1"/>
  <c r="AK6" i="11" l="1"/>
  <c r="AL6" i="11" l="1"/>
  <c r="AM6" i="11" l="1"/>
  <c r="AN6" i="11" l="1"/>
  <c r="AO6" i="11" l="1"/>
  <c r="AP6" i="11" l="1"/>
  <c r="AQ6" i="11" l="1"/>
  <c r="AR6" i="11" l="1"/>
  <c r="H15" i="11"/>
  <c r="H11" i="11"/>
  <c r="H16" i="11" l="1"/>
  <c r="H17" i="11" l="1"/>
</calcChain>
</file>

<file path=xl/sharedStrings.xml><?xml version="1.0" encoding="utf-8"?>
<sst xmlns="http://schemas.openxmlformats.org/spreadsheetml/2006/main" count="52" uniqueCount="40">
  <si>
    <t>Insert new rows ABOVE this one</t>
  </si>
  <si>
    <t>PROGRESS</t>
  </si>
  <si>
    <t>Project Management Templates</t>
  </si>
  <si>
    <t>START</t>
  </si>
  <si>
    <t>END</t>
  </si>
  <si>
    <t>TASK</t>
  </si>
  <si>
    <t>More Project Management Templates</t>
  </si>
  <si>
    <t>About This Template</t>
  </si>
  <si>
    <t>SIMPLE GANTT CHART by Vertex42.com</t>
  </si>
  <si>
    <t>Additional Help</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</si>
  <si>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</si>
  <si>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</si>
  <si>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</si>
  <si>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Visit Vertex42.com to download other project management templates, including different types of project schedules, Gantt charts, tasks lists, etc.</t>
  </si>
  <si>
    <t>How to Use the Simple Gantt Chart</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</si>
  <si>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</si>
  <si>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</si>
  <si>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</si>
  <si>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Guide for Screen Readers</t>
  </si>
  <si>
    <t xml:space="preserve">Do not delete this row. This row is hidden to preserve a formula that is used to highlight the current day within the project schedule. </t>
  </si>
  <si>
    <t>Project start:</t>
  </si>
  <si>
    <t>Display week:</t>
  </si>
  <si>
    <t>ASSIGNED TO</t>
  </si>
  <si>
    <t>Evaluation</t>
  </si>
  <si>
    <t>Capita Selecta</t>
  </si>
  <si>
    <t>Van Dung Phan</t>
  </si>
  <si>
    <t>Student number 546821</t>
  </si>
  <si>
    <t>Literature review and benchmark methodology</t>
  </si>
  <si>
    <t>Requirements and Analysis</t>
  </si>
  <si>
    <t>Realization and Implementation</t>
  </si>
  <si>
    <t>Li-Fi link, both directions</t>
  </si>
  <si>
    <t>Pico BLE and Wi-Fi firmware</t>
  </si>
  <si>
    <t>Pi 4 pipeline (logging, MQTT)</t>
  </si>
  <si>
    <t>Power measurement setup (INA219)</t>
  </si>
  <si>
    <t>Kotlin Multiplatform app</t>
  </si>
  <si>
    <t>Chart integration and notifications</t>
  </si>
  <si>
    <t>Pico web server</t>
  </si>
  <si>
    <t>Benchmark testing</t>
  </si>
  <si>
    <t>Report writing and presentation</t>
  </si>
  <si>
    <t>Revision, and exams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</si>
</sst>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m/d/yy;@"/>
    <numFmt numFmtId="165" formatCode="ddd\,\ m/d/yyyy"/>
    <numFmt numFmtId="166" formatCode="mmm\ d\,\ yyyy"/>
    <numFmt numFmtId="167" formatCode="d"/>
  </numFmts>
  <fonts count="32" x14ac:knownFonts="1">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1"/>
      <color theme="1" tint="0.499984740745262"/>
      <name val="Arial"/>
      <family val="2"/>
      <scheme val="minor"/>
    </font>
    <font>
      <sz val="10"/>
      <color theme="1" tint="0.499984740745262"/>
      <name val="Arial"/>
      <family val="2"/>
    </font>
    <font>
      <b/>
      <sz val="12"/>
      <color theme="1" tint="0.34998626667073579"/>
      <name val="Arial"/>
      <family val="2"/>
      <scheme val="minor"/>
    </font>
    <font>
      <b/>
      <sz val="10"/>
      <name val="Arial"/>
      <family val="2"/>
      <scheme val="minor"/>
    </font>
    <font>
      <sz val="11"/>
      <color theme="1" tint="0.499984740745262"/>
      <name val="Arial"/>
      <family val="2"/>
      <scheme val="minor"/>
    </font>
    <font>
      <sz val="20"/>
      <name val="Arial Black"/>
      <family val="2"/>
      <scheme val="major"/>
    </font>
    <font>
      <sz val="11"/>
      <color theme="0"/>
      <name val="Arial"/>
      <family val="2"/>
      <scheme val="minor"/>
    </font>
    <font>
      <sz val="10"/>
      <name val="Arial"/>
      <family val="2"/>
    </font>
    <font>
      <b/>
      <sz val="20"/>
      <color theme="4" tint="-0.249977111117893"/>
      <name val="Arial"/>
      <family val="2"/>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i/>
      <sz val="10"/>
      <color theme="1"/>
      <name val="Arial"/>
      <family val="2"/>
      <scheme val="minor"/>
    </font>
    <font>
      <sz val="10"/>
      <color theme="1" tint="0.499984740745262"/>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b/>
      <sz val="40"/>
      <color theme="9"/>
      <name val="Arial Black"/>
      <family val="2"/>
      <scheme val="major"/>
    </font>
    <font>
      <sz val="11"/>
      <color rgb="FF1D2129"/>
      <name val="Arial"/>
      <family val="2"/>
      <scheme val="minor"/>
    </font>
    <font>
      <u/>
      <sz val="11"/>
      <color indexed="12"/>
      <name val="Arial"/>
      <family val="2"/>
      <scheme val="minor"/>
    </font>
  </fonts>
  <fills count="13">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s>
  <borders count="21">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13" fillId="0" borderId="0"/>
    <xf numFmtId="43"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5" fontId="4" fillId="0" borderId="2">
      <alignment horizontal="center" vertical="center"/>
    </xf>
    <xf numFmtId="164"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116">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8" fillId="0" borderId="0" xfId="1" applyFont="1" applyAlignment="1" applyProtection="1"/>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1" fillId="0" borderId="0" xfId="0" applyFont="1" applyAlignment="1">
      <alignment vertical="top"/>
    </xf>
    <xf numFmtId="0" fontId="9" fillId="0" borderId="0" xfId="0" applyFont="1" applyAlignment="1">
      <alignment horizontal="left" vertical="center"/>
    </xf>
    <xf numFmtId="0" fontId="10" fillId="0" borderId="0" xfId="0" applyFont="1" applyAlignment="1">
      <alignment horizontal="left" vertical="center"/>
    </xf>
    <xf numFmtId="0" fontId="12" fillId="0" borderId="0" xfId="0" applyFont="1"/>
    <xf numFmtId="0" fontId="1" fillId="0" borderId="0" xfId="0" applyFont="1" applyAlignment="1">
      <alignment horizontal="left" vertical="top"/>
    </xf>
    <xf numFmtId="0" fontId="11" fillId="0" borderId="0" xfId="0" applyFont="1" applyAlignment="1">
      <alignment vertical="top"/>
    </xf>
    <xf numFmtId="0" fontId="13" fillId="0" borderId="0" xfId="3"/>
    <xf numFmtId="0" fontId="13" fillId="0" borderId="0" xfId="3" applyAlignment="1">
      <alignment wrapText="1"/>
    </xf>
    <xf numFmtId="0" fontId="13" fillId="0" borderId="0" xfId="0" applyFont="1" applyAlignment="1">
      <alignment horizontal="center"/>
    </xf>
    <xf numFmtId="0" fontId="7" fillId="0" borderId="0" xfId="0" applyFont="1"/>
    <xf numFmtId="0" fontId="3" fillId="0" borderId="0" xfId="0" applyFont="1" applyAlignment="1">
      <alignment horizontal="center" vertical="center"/>
    </xf>
    <xf numFmtId="0" fontId="15" fillId="0" borderId="0" xfId="0" applyFont="1"/>
    <xf numFmtId="0" fontId="14" fillId="0" borderId="0" xfId="0" applyFont="1"/>
    <xf numFmtId="0" fontId="14" fillId="0" borderId="0" xfId="0" applyFont="1" applyAlignment="1">
      <alignment horizontal="center"/>
    </xf>
    <xf numFmtId="0" fontId="14" fillId="0" borderId="0" xfId="0" applyFont="1" applyAlignment="1">
      <alignment horizontal="center" vertical="center"/>
    </xf>
    <xf numFmtId="0" fontId="16" fillId="0" borderId="0" xfId="0" applyFont="1"/>
    <xf numFmtId="0" fontId="16" fillId="0" borderId="0" xfId="0" applyFont="1" applyAlignment="1">
      <alignment horizontal="center"/>
    </xf>
    <xf numFmtId="0" fontId="17" fillId="0" borderId="0" xfId="0" applyFont="1"/>
    <xf numFmtId="0" fontId="18" fillId="0" borderId="0" xfId="0" applyFont="1" applyAlignment="1">
      <alignment horizontal="left" indent="1"/>
    </xf>
    <xf numFmtId="0" fontId="4" fillId="0" borderId="0" xfId="0" applyFont="1"/>
    <xf numFmtId="0" fontId="4" fillId="0" borderId="0" xfId="8">
      <alignment horizontal="right" indent="1"/>
    </xf>
    <xf numFmtId="0" fontId="4" fillId="0" borderId="0" xfId="0" applyFont="1" applyAlignment="1">
      <alignment horizontal="center"/>
    </xf>
    <xf numFmtId="0" fontId="1" fillId="0" borderId="0" xfId="1" applyFont="1" applyAlignment="1" applyProtection="1">
      <alignment horizontal="left" vertical="top" indent="1"/>
    </xf>
    <xf numFmtId="0" fontId="4" fillId="0" borderId="0" xfId="0" applyFont="1" applyAlignment="1">
      <alignment horizontal="left" indent="1"/>
    </xf>
    <xf numFmtId="167" fontId="21" fillId="12" borderId="19" xfId="0" applyNumberFormat="1" applyFont="1" applyFill="1" applyBorder="1" applyAlignment="1">
      <alignment horizontal="center" vertical="center"/>
    </xf>
    <xf numFmtId="167" fontId="21" fillId="12" borderId="17" xfId="0" applyNumberFormat="1" applyFont="1" applyFill="1" applyBorder="1" applyAlignment="1">
      <alignment horizontal="center" vertical="center"/>
    </xf>
    <xf numFmtId="167" fontId="21" fillId="12" borderId="18" xfId="0" applyNumberFormat="1" applyFont="1" applyFill="1" applyBorder="1" applyAlignment="1">
      <alignment horizontal="center" vertical="center"/>
    </xf>
    <xf numFmtId="0" fontId="22" fillId="2" borderId="16" xfId="0" applyFont="1" applyFill="1" applyBorder="1" applyAlignment="1">
      <alignment horizontal="center" vertical="center" shrinkToFit="1"/>
    </xf>
    <xf numFmtId="0" fontId="22" fillId="2" borderId="13" xfId="0" applyFont="1" applyFill="1" applyBorder="1" applyAlignment="1">
      <alignment horizontal="center" vertical="center" shrinkToFit="1"/>
    </xf>
    <xf numFmtId="0" fontId="22" fillId="2" borderId="14" xfId="0" applyFont="1" applyFill="1" applyBorder="1" applyAlignment="1">
      <alignment horizontal="center" vertical="center" shrinkToFit="1"/>
    </xf>
    <xf numFmtId="0" fontId="19" fillId="0" borderId="0" xfId="0" applyFont="1"/>
    <xf numFmtId="0" fontId="19" fillId="0" borderId="0" xfId="0" applyFont="1" applyAlignment="1">
      <alignment wrapText="1"/>
    </xf>
    <xf numFmtId="0" fontId="4" fillId="0" borderId="3" xfId="0" applyFont="1" applyBorder="1" applyAlignment="1">
      <alignment vertical="center"/>
    </xf>
    <xf numFmtId="0" fontId="23" fillId="6" borderId="0" xfId="0" applyFont="1" applyFill="1" applyAlignment="1">
      <alignment horizontal="left" vertical="center" indent="1"/>
    </xf>
    <xf numFmtId="0" fontId="19" fillId="6" borderId="0" xfId="11" applyFont="1" applyFill="1" applyBorder="1" applyAlignment="1">
      <alignment vertical="center"/>
    </xf>
    <xf numFmtId="9" fontId="1" fillId="6" borderId="0" xfId="2" applyFont="1" applyFill="1" applyBorder="1" applyAlignment="1">
      <alignment horizontal="center" vertical="center"/>
    </xf>
    <xf numFmtId="164" fontId="19" fillId="6" borderId="0" xfId="0" applyNumberFormat="1" applyFont="1" applyFill="1" applyAlignment="1">
      <alignment horizontal="center" vertical="center"/>
    </xf>
    <xf numFmtId="164" fontId="1" fillId="6" borderId="0" xfId="0" applyNumberFormat="1" applyFont="1" applyFill="1" applyAlignment="1">
      <alignment horizontal="center" vertical="center"/>
    </xf>
    <xf numFmtId="0" fontId="4" fillId="0" borderId="11" xfId="0" applyFont="1" applyBorder="1" applyAlignment="1">
      <alignment vertical="center"/>
    </xf>
    <xf numFmtId="0" fontId="4" fillId="0" borderId="0" xfId="0" applyFont="1" applyAlignment="1">
      <alignment vertical="center"/>
    </xf>
    <xf numFmtId="0" fontId="19" fillId="3" borderId="6" xfId="12" applyFont="1" applyFill="1" applyBorder="1">
      <alignment horizontal="left" vertical="center" indent="2"/>
    </xf>
    <xf numFmtId="0" fontId="19" fillId="3" borderId="6" xfId="11" applyFont="1" applyFill="1" applyBorder="1" applyAlignment="1">
      <alignment vertical="center"/>
    </xf>
    <xf numFmtId="9" fontId="1" fillId="3" borderId="6" xfId="2" applyFont="1" applyFill="1" applyBorder="1" applyAlignment="1">
      <alignment horizontal="center" vertical="center"/>
    </xf>
    <xf numFmtId="164" fontId="19" fillId="3" borderId="6" xfId="10" applyFont="1" applyFill="1" applyBorder="1">
      <alignment horizontal="center" vertical="center"/>
    </xf>
    <xf numFmtId="0" fontId="4" fillId="0" borderId="4" xfId="0" applyFont="1" applyBorder="1" applyAlignment="1">
      <alignment vertical="center"/>
    </xf>
    <xf numFmtId="0" fontId="4" fillId="0" borderId="4" xfId="0" applyFont="1" applyBorder="1" applyAlignment="1">
      <alignment horizontal="right" vertical="center"/>
    </xf>
    <xf numFmtId="0" fontId="23" fillId="7" borderId="0" xfId="0" applyFont="1" applyFill="1" applyAlignment="1">
      <alignment horizontal="left" vertical="center" indent="1"/>
    </xf>
    <xf numFmtId="0" fontId="19" fillId="7" borderId="0" xfId="11" applyFont="1" applyFill="1" applyBorder="1" applyAlignment="1">
      <alignment vertical="center"/>
    </xf>
    <xf numFmtId="9" fontId="1" fillId="7" borderId="0" xfId="2" applyFont="1" applyFill="1" applyBorder="1" applyAlignment="1">
      <alignment horizontal="center" vertical="center"/>
    </xf>
    <xf numFmtId="164" fontId="19" fillId="7" borderId="0" xfId="0" applyNumberFormat="1" applyFont="1" applyFill="1" applyAlignment="1">
      <alignment horizontal="center" vertical="center"/>
    </xf>
    <xf numFmtId="164" fontId="1" fillId="7" borderId="0" xfId="0" applyNumberFormat="1" applyFont="1" applyFill="1" applyAlignment="1">
      <alignment horizontal="center" vertical="center"/>
    </xf>
    <xf numFmtId="0" fontId="19" fillId="4" borderId="5" xfId="12" applyFont="1" applyFill="1" applyBorder="1">
      <alignment horizontal="left" vertical="center" indent="2"/>
    </xf>
    <xf numFmtId="0" fontId="19" fillId="4" borderId="5" xfId="11" applyFont="1" applyFill="1" applyBorder="1" applyAlignment="1">
      <alignment vertical="center"/>
    </xf>
    <xf numFmtId="9" fontId="1" fillId="4" borderId="5" xfId="2" applyFont="1" applyFill="1" applyBorder="1" applyAlignment="1">
      <alignment horizontal="center" vertical="center"/>
    </xf>
    <xf numFmtId="164" fontId="19" fillId="4" borderId="5" xfId="10" applyFont="1" applyFill="1" applyBorder="1">
      <alignment horizontal="center" vertical="center"/>
    </xf>
    <xf numFmtId="0" fontId="23" fillId="8" borderId="0" xfId="0" applyFont="1" applyFill="1" applyAlignment="1">
      <alignment horizontal="left" vertical="center" indent="1"/>
    </xf>
    <xf numFmtId="0" fontId="19" fillId="8" borderId="0" xfId="11" applyFont="1" applyFill="1" applyBorder="1" applyAlignment="1">
      <alignment vertical="center"/>
    </xf>
    <xf numFmtId="9" fontId="1" fillId="8" borderId="0" xfId="2" applyFont="1" applyFill="1" applyBorder="1" applyAlignment="1">
      <alignment horizontal="center" vertical="center"/>
    </xf>
    <xf numFmtId="164" fontId="19" fillId="8" borderId="0" xfId="0" applyNumberFormat="1" applyFont="1" applyFill="1" applyAlignment="1">
      <alignment horizontal="center" vertical="center"/>
    </xf>
    <xf numFmtId="164" fontId="1" fillId="8" borderId="0" xfId="0" applyNumberFormat="1" applyFont="1" applyFill="1" applyAlignment="1">
      <alignment horizontal="center" vertical="center"/>
    </xf>
    <xf numFmtId="0" fontId="4" fillId="0" borderId="10" xfId="0" applyFont="1" applyBorder="1" applyAlignment="1">
      <alignment vertical="center"/>
    </xf>
    <xf numFmtId="0" fontId="19" fillId="5" borderId="7" xfId="12" applyFont="1" applyFill="1" applyBorder="1">
      <alignment horizontal="left" vertical="center" indent="2"/>
    </xf>
    <xf numFmtId="0" fontId="19" fillId="5" borderId="7" xfId="11" applyFont="1" applyFill="1" applyBorder="1" applyAlignment="1">
      <alignment vertical="center"/>
    </xf>
    <xf numFmtId="9" fontId="1" fillId="5" borderId="7" xfId="2" applyFont="1" applyFill="1" applyBorder="1" applyAlignment="1">
      <alignment horizontal="center" vertical="center"/>
    </xf>
    <xf numFmtId="164" fontId="19" fillId="5" borderId="7" xfId="10" applyFont="1" applyFill="1" applyBorder="1">
      <alignment horizontal="center" vertical="center"/>
    </xf>
    <xf numFmtId="0" fontId="23" fillId="9" borderId="0" xfId="0" applyFont="1" applyFill="1" applyAlignment="1">
      <alignment horizontal="left" vertical="center" indent="1"/>
    </xf>
    <xf numFmtId="0" fontId="19" fillId="9" borderId="0" xfId="11" applyFont="1" applyFill="1" applyBorder="1" applyAlignment="1">
      <alignment vertical="center"/>
    </xf>
    <xf numFmtId="9" fontId="1" fillId="9" borderId="0" xfId="2" applyFont="1" applyFill="1" applyBorder="1" applyAlignment="1">
      <alignment horizontal="center" vertical="center"/>
    </xf>
    <xf numFmtId="164" fontId="19" fillId="9" borderId="0" xfId="0" applyNumberFormat="1" applyFont="1" applyFill="1" applyAlignment="1">
      <alignment horizontal="center" vertical="center"/>
    </xf>
    <xf numFmtId="164" fontId="1" fillId="9" borderId="0" xfId="0" applyNumberFormat="1" applyFont="1" applyFill="1" applyAlignment="1">
      <alignment horizontal="center" vertical="center"/>
    </xf>
    <xf numFmtId="0" fontId="4" fillId="0" borderId="9" xfId="0" applyFont="1" applyBorder="1" applyAlignment="1">
      <alignment vertical="center"/>
    </xf>
    <xf numFmtId="0" fontId="19" fillId="10" borderId="8" xfId="12" applyFont="1" applyFill="1" applyBorder="1">
      <alignment horizontal="left" vertical="center" indent="2"/>
    </xf>
    <xf numFmtId="0" fontId="19" fillId="10" borderId="8" xfId="11" applyFont="1" applyFill="1" applyBorder="1" applyAlignment="1">
      <alignment vertical="center"/>
    </xf>
    <xf numFmtId="9" fontId="1" fillId="10" borderId="8" xfId="2" applyFont="1" applyFill="1" applyBorder="1" applyAlignment="1">
      <alignment horizontal="center" vertical="center"/>
    </xf>
    <xf numFmtId="164" fontId="19" fillId="10" borderId="8" xfId="10" applyFont="1" applyFill="1" applyBorder="1">
      <alignment horizontal="center" vertical="center"/>
    </xf>
    <xf numFmtId="0" fontId="19" fillId="0" borderId="0" xfId="12" applyFont="1" applyBorder="1">
      <alignment horizontal="left" vertical="center" indent="2"/>
    </xf>
    <xf numFmtId="0" fontId="19" fillId="0" borderId="0" xfId="11" applyFont="1" applyBorder="1" applyAlignment="1">
      <alignment vertical="center"/>
    </xf>
    <xf numFmtId="9" fontId="1" fillId="0" borderId="0" xfId="2" applyFont="1" applyBorder="1" applyAlignment="1">
      <alignment horizontal="center" vertical="center"/>
    </xf>
    <xf numFmtId="164" fontId="19" fillId="0" borderId="0" xfId="10" applyFont="1" applyBorder="1">
      <alignment horizontal="center" vertical="center"/>
    </xf>
    <xf numFmtId="0" fontId="24" fillId="2" borderId="0" xfId="0" applyFont="1" applyFill="1" applyAlignment="1">
      <alignment horizontal="left" vertical="center" indent="1"/>
    </xf>
    <xf numFmtId="0" fontId="24" fillId="2" borderId="0" xfId="0" applyFont="1" applyFill="1" applyAlignment="1">
      <alignment vertical="center"/>
    </xf>
    <xf numFmtId="9" fontId="1" fillId="2" borderId="0" xfId="2" applyFont="1" applyFill="1" applyBorder="1" applyAlignment="1">
      <alignment horizontal="center" vertical="center"/>
    </xf>
    <xf numFmtId="164" fontId="25" fillId="2" borderId="0" xfId="0" applyNumberFormat="1" applyFont="1" applyFill="1" applyAlignment="1">
      <alignment horizontal="left" vertical="center"/>
    </xf>
    <xf numFmtId="164" fontId="1" fillId="2" borderId="0" xfId="0" applyNumberFormat="1" applyFont="1" applyFill="1" applyAlignment="1">
      <alignment horizontal="center" vertical="center"/>
    </xf>
    <xf numFmtId="0" fontId="4" fillId="2" borderId="0" xfId="0" applyFont="1" applyFill="1" applyAlignment="1">
      <alignment vertical="center"/>
    </xf>
    <xf numFmtId="0" fontId="26" fillId="0" borderId="0" xfId="6" applyFont="1" applyAlignment="1">
      <alignment horizontal="left" vertical="center" indent="1"/>
    </xf>
    <xf numFmtId="0" fontId="26" fillId="0" borderId="0" xfId="7" applyFont="1" applyAlignment="1">
      <alignment horizontal="left" vertical="center" indent="1"/>
    </xf>
    <xf numFmtId="0" fontId="29" fillId="0" borderId="0" xfId="5" applyFont="1" applyAlignment="1">
      <alignment horizontal="left"/>
    </xf>
    <xf numFmtId="0" fontId="9" fillId="0" borderId="0" xfId="0" applyFont="1" applyAlignment="1">
      <alignment horizontal="left" vertical="center" indent="1"/>
    </xf>
    <xf numFmtId="0" fontId="3" fillId="0" borderId="0" xfId="0" applyFont="1" applyAlignment="1">
      <alignment horizontal="left" vertical="top" indent="1"/>
    </xf>
    <xf numFmtId="0" fontId="26" fillId="0" borderId="0" xfId="0" applyFont="1" applyAlignment="1">
      <alignment horizontal="left" vertical="center" indent="1"/>
    </xf>
    <xf numFmtId="0" fontId="30" fillId="0" borderId="0" xfId="0" applyFont="1" applyAlignment="1">
      <alignment horizontal="left" vertical="top" wrapText="1" indent="1"/>
    </xf>
    <xf numFmtId="0" fontId="0" fillId="0" borderId="0" xfId="0" applyAlignment="1">
      <alignment horizontal="left" vertical="top" wrapText="1" indent="1"/>
    </xf>
    <xf numFmtId="0" fontId="31" fillId="0" borderId="0" xfId="1" applyFont="1" applyAlignment="1" applyProtection="1">
      <alignment horizontal="left" vertical="top" indent="1"/>
    </xf>
    <xf numFmtId="0" fontId="1" fillId="0" borderId="0" xfId="0" applyFont="1" applyAlignment="1">
      <alignment horizontal="left" vertical="top" indent="1"/>
    </xf>
    <xf numFmtId="0" fontId="13" fillId="0" borderId="0" xfId="3" applyAlignment="1">
      <alignment wrapText="1"/>
    </xf>
    <xf numFmtId="0" fontId="20" fillId="11" borderId="15" xfId="0" applyFont="1" applyFill="1" applyBorder="1" applyAlignment="1">
      <alignment horizontal="left" vertical="center" indent="1"/>
    </xf>
    <xf numFmtId="0" fontId="4" fillId="2" borderId="20" xfId="0" applyFont="1" applyFill="1" applyBorder="1" applyAlignment="1">
      <alignment horizontal="left" indent="1"/>
    </xf>
    <xf numFmtId="0" fontId="20" fillId="11" borderId="15" xfId="0" applyFont="1" applyFill="1" applyBorder="1" applyAlignment="1">
      <alignment vertical="center"/>
    </xf>
    <xf numFmtId="0" fontId="4" fillId="2" borderId="20" xfId="0" applyFont="1" applyFill="1" applyBorder="1"/>
    <xf numFmtId="0" fontId="20" fillId="11" borderId="15" xfId="0" applyFont="1" applyFill="1" applyBorder="1" applyAlignment="1">
      <alignment horizontal="center" vertical="center"/>
    </xf>
    <xf numFmtId="0" fontId="27" fillId="0" borderId="0" xfId="0" applyFont="1" applyAlignment="1">
      <alignment horizontal="left"/>
    </xf>
    <xf numFmtId="0" fontId="28" fillId="0" borderId="0" xfId="0" applyFont="1"/>
    <xf numFmtId="165" fontId="27" fillId="0" borderId="0" xfId="9" applyFont="1" applyBorder="1" applyAlignment="1">
      <alignment horizontal="left"/>
    </xf>
    <xf numFmtId="0" fontId="26" fillId="0" borderId="0" xfId="8" applyFont="1" applyAlignment="1">
      <alignment horizontal="left"/>
    </xf>
    <xf numFmtId="0" fontId="4" fillId="0" borderId="0" xfId="0" applyFont="1"/>
    <xf numFmtId="166" fontId="19" fillId="2" borderId="12" xfId="0" applyNumberFormat="1" applyFont="1" applyFill="1" applyBorder="1" applyAlignment="1">
      <alignment horizontal="center" vertical="center" wrapText="1"/>
    </xf>
    <xf numFmtId="166" fontId="19" fillId="2" borderId="18" xfId="0" applyNumberFormat="1" applyFont="1" applyFill="1" applyBorder="1" applyAlignment="1">
      <alignment horizontal="center" vertical="center" wrapText="1"/>
    </xf>
    <xf numFmtId="166" fontId="19" fillId="2" borderId="17" xfId="0" applyNumberFormat="1" applyFont="1" applyFill="1" applyBorder="1" applyAlignment="1">
      <alignment horizontal="center" vertical="center" wrapText="1"/>
    </xf>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23">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border>
        <left style="thin">
          <color theme="5"/>
        </left>
        <right style="thin">
          <color theme="5"/>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22"/>
      <tableStyleElement type="headerRow" dxfId="21"/>
      <tableStyleElement type="totalRow" dxfId="20"/>
      <tableStyleElement type="firstColumn" dxfId="19"/>
      <tableStyleElement type="lastColumn" dxfId="18"/>
      <tableStyleElement type="firstRowStripe" dxfId="17"/>
      <tableStyleElement type="secondRowStripe" dxfId="16"/>
      <tableStyleElement type="firstColumnStripe" dxfId="15"/>
      <tableStyleElement type="secondColumnStripe" dxfId="1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27"/>
  <sheetViews>
    <sheetView showGridLines="0" tabSelected="1" showRuler="0" topLeftCell="B1" zoomScaleNormal="100" zoomScalePageLayoutView="70" workbookViewId="0">
      <selection activeCell="J26" sqref="J26"/>
    </sheetView>
  </sheetViews>
  <sheetFormatPr baseColWidth="10" defaultColWidth="8.6640625" defaultRowHeight="30" customHeight="1" x14ac:dyDescent="0.15"/>
  <cols>
    <col min="1" max="1" width="2.6640625" style="13" customWidth="1"/>
    <col min="2" max="2" width="51.33203125" customWidth="1"/>
    <col min="3" max="3" width="16.6640625" customWidth="1"/>
    <col min="4" max="4" width="10.6640625" customWidth="1"/>
    <col min="5" max="5" width="10.6640625" style="2" customWidth="1"/>
    <col min="6" max="6" width="10.6640625" customWidth="1"/>
    <col min="7" max="7" width="2.6640625" customWidth="1"/>
    <col min="8" max="8" width="6" hidden="1" customWidth="1"/>
    <col min="9" max="65" width="2.6640625" customWidth="1"/>
  </cols>
  <sheetData>
    <row r="1" spans="1:64" ht="90" customHeight="1" x14ac:dyDescent="0.85">
      <c r="A1" s="14"/>
      <c r="B1" s="94" t="s">
        <v>24</v>
      </c>
      <c r="C1" s="18"/>
      <c r="D1" s="19"/>
      <c r="E1" s="20"/>
      <c r="F1" s="21"/>
      <c r="H1" s="1"/>
      <c r="I1" s="111" t="s">
        <v>20</v>
      </c>
      <c r="J1" s="112"/>
      <c r="K1" s="112"/>
      <c r="L1" s="112"/>
      <c r="M1" s="112"/>
      <c r="N1" s="112"/>
      <c r="O1" s="112"/>
      <c r="P1" s="24"/>
      <c r="Q1" s="110">
        <v>46268</v>
      </c>
      <c r="R1" s="109"/>
      <c r="S1" s="109"/>
      <c r="T1" s="109"/>
      <c r="U1" s="109"/>
      <c r="V1" s="109"/>
      <c r="W1" s="109"/>
      <c r="X1" s="109"/>
      <c r="Y1" s="109"/>
      <c r="Z1" s="109"/>
    </row>
    <row r="2" spans="1:64" ht="30" customHeight="1" x14ac:dyDescent="0.4">
      <c r="B2" s="92" t="s">
        <v>25</v>
      </c>
      <c r="C2" s="93" t="s">
        <v>26</v>
      </c>
      <c r="D2" s="22"/>
      <c r="E2" s="23"/>
      <c r="F2" s="22"/>
      <c r="I2" s="111" t="s">
        <v>21</v>
      </c>
      <c r="J2" s="112"/>
      <c r="K2" s="112"/>
      <c r="L2" s="112"/>
      <c r="M2" s="112"/>
      <c r="N2" s="112"/>
      <c r="O2" s="112"/>
      <c r="P2" s="24"/>
      <c r="Q2" s="108">
        <v>1</v>
      </c>
      <c r="R2" s="109"/>
      <c r="S2" s="109"/>
      <c r="T2" s="109"/>
      <c r="U2" s="109"/>
      <c r="V2" s="109"/>
      <c r="W2" s="109"/>
      <c r="X2" s="109"/>
      <c r="Y2" s="109"/>
      <c r="Z2" s="109"/>
    </row>
    <row r="3" spans="1:64" s="26" customFormat="1" ht="30" customHeight="1" x14ac:dyDescent="0.15">
      <c r="A3" s="13"/>
      <c r="B3" s="25"/>
      <c r="D3" s="27"/>
      <c r="E3" s="28"/>
    </row>
    <row r="4" spans="1:64" s="26" customFormat="1" ht="30" customHeight="1" x14ac:dyDescent="0.15">
      <c r="A4" s="14"/>
      <c r="B4" s="29"/>
      <c r="E4" s="30"/>
      <c r="I4" s="115">
        <f>I5</f>
        <v>46265</v>
      </c>
      <c r="J4" s="113"/>
      <c r="K4" s="113"/>
      <c r="L4" s="113"/>
      <c r="M4" s="113"/>
      <c r="N4" s="113"/>
      <c r="O4" s="113"/>
      <c r="P4" s="113">
        <f>P5</f>
        <v>46272</v>
      </c>
      <c r="Q4" s="113"/>
      <c r="R4" s="113"/>
      <c r="S4" s="113"/>
      <c r="T4" s="113"/>
      <c r="U4" s="113"/>
      <c r="V4" s="113"/>
      <c r="W4" s="113">
        <f>W5</f>
        <v>46279</v>
      </c>
      <c r="X4" s="113"/>
      <c r="Y4" s="113"/>
      <c r="Z4" s="113"/>
      <c r="AA4" s="113"/>
      <c r="AB4" s="113"/>
      <c r="AC4" s="113"/>
      <c r="AD4" s="113">
        <f>AD5</f>
        <v>46286</v>
      </c>
      <c r="AE4" s="113"/>
      <c r="AF4" s="113"/>
      <c r="AG4" s="113"/>
      <c r="AH4" s="113"/>
      <c r="AI4" s="113"/>
      <c r="AJ4" s="113"/>
      <c r="AK4" s="113">
        <f>AK5</f>
        <v>46293</v>
      </c>
      <c r="AL4" s="113"/>
      <c r="AM4" s="113"/>
      <c r="AN4" s="113"/>
      <c r="AO4" s="113"/>
      <c r="AP4" s="113"/>
      <c r="AQ4" s="113"/>
      <c r="AR4" s="113">
        <f>AR5</f>
        <v>46300</v>
      </c>
      <c r="AS4" s="113"/>
      <c r="AT4" s="113"/>
      <c r="AU4" s="113"/>
      <c r="AV4" s="113"/>
      <c r="AW4" s="113"/>
      <c r="AX4" s="113"/>
      <c r="AY4" s="113">
        <f>AY5</f>
        <v>46307</v>
      </c>
      <c r="AZ4" s="113"/>
      <c r="BA4" s="113"/>
      <c r="BB4" s="113"/>
      <c r="BC4" s="113"/>
      <c r="BD4" s="113"/>
      <c r="BE4" s="113"/>
      <c r="BF4" s="113">
        <f>BF5</f>
        <v>46314</v>
      </c>
      <c r="BG4" s="113"/>
      <c r="BH4" s="113"/>
      <c r="BI4" s="113"/>
      <c r="BJ4" s="113"/>
      <c r="BK4" s="113"/>
      <c r="BL4" s="114"/>
    </row>
    <row r="5" spans="1:64" s="26" customFormat="1" ht="15" customHeight="1" x14ac:dyDescent="0.15">
      <c r="A5" s="102"/>
      <c r="B5" s="103" t="s">
        <v>5</v>
      </c>
      <c r="C5" s="105" t="s">
        <v>22</v>
      </c>
      <c r="D5" s="107" t="s">
        <v>1</v>
      </c>
      <c r="E5" s="107" t="s">
        <v>3</v>
      </c>
      <c r="F5" s="107" t="s">
        <v>4</v>
      </c>
      <c r="I5" s="31">
        <f>Project_Start-WEEKDAY(Project_Start,1)+2+7*(Display_Week-1)</f>
        <v>46265</v>
      </c>
      <c r="J5" s="31">
        <f>I5+1</f>
        <v>46266</v>
      </c>
      <c r="K5" s="31">
        <f t="shared" ref="K5:AX5" si="0">J5+1</f>
        <v>46267</v>
      </c>
      <c r="L5" s="31">
        <f t="shared" si="0"/>
        <v>46268</v>
      </c>
      <c r="M5" s="31">
        <f t="shared" si="0"/>
        <v>46269</v>
      </c>
      <c r="N5" s="31">
        <f t="shared" si="0"/>
        <v>46270</v>
      </c>
      <c r="O5" s="32">
        <f t="shared" si="0"/>
        <v>46271</v>
      </c>
      <c r="P5" s="33">
        <f>O5+1</f>
        <v>46272</v>
      </c>
      <c r="Q5" s="31">
        <f>P5+1</f>
        <v>46273</v>
      </c>
      <c r="R5" s="31">
        <f t="shared" si="0"/>
        <v>46274</v>
      </c>
      <c r="S5" s="31">
        <f t="shared" si="0"/>
        <v>46275</v>
      </c>
      <c r="T5" s="31">
        <f t="shared" si="0"/>
        <v>46276</v>
      </c>
      <c r="U5" s="31">
        <f t="shared" si="0"/>
        <v>46277</v>
      </c>
      <c r="V5" s="32">
        <f t="shared" si="0"/>
        <v>46278</v>
      </c>
      <c r="W5" s="33">
        <f>V5+1</f>
        <v>46279</v>
      </c>
      <c r="X5" s="31">
        <f>W5+1</f>
        <v>46280</v>
      </c>
      <c r="Y5" s="31">
        <f t="shared" si="0"/>
        <v>46281</v>
      </c>
      <c r="Z5" s="31">
        <f t="shared" si="0"/>
        <v>46282</v>
      </c>
      <c r="AA5" s="31">
        <f t="shared" si="0"/>
        <v>46283</v>
      </c>
      <c r="AB5" s="31">
        <f t="shared" si="0"/>
        <v>46284</v>
      </c>
      <c r="AC5" s="32">
        <f t="shared" si="0"/>
        <v>46285</v>
      </c>
      <c r="AD5" s="33">
        <f>AC5+1</f>
        <v>46286</v>
      </c>
      <c r="AE5" s="31">
        <f>AD5+1</f>
        <v>46287</v>
      </c>
      <c r="AF5" s="31">
        <f t="shared" si="0"/>
        <v>46288</v>
      </c>
      <c r="AG5" s="31">
        <f t="shared" si="0"/>
        <v>46289</v>
      </c>
      <c r="AH5" s="31">
        <f t="shared" si="0"/>
        <v>46290</v>
      </c>
      <c r="AI5" s="31">
        <f t="shared" si="0"/>
        <v>46291</v>
      </c>
      <c r="AJ5" s="32">
        <f t="shared" si="0"/>
        <v>46292</v>
      </c>
      <c r="AK5" s="33">
        <f>AJ5+1</f>
        <v>46293</v>
      </c>
      <c r="AL5" s="31">
        <f>AK5+1</f>
        <v>46294</v>
      </c>
      <c r="AM5" s="31">
        <f t="shared" si="0"/>
        <v>46295</v>
      </c>
      <c r="AN5" s="31">
        <f t="shared" si="0"/>
        <v>46296</v>
      </c>
      <c r="AO5" s="31">
        <f t="shared" si="0"/>
        <v>46297</v>
      </c>
      <c r="AP5" s="31">
        <f t="shared" si="0"/>
        <v>46298</v>
      </c>
      <c r="AQ5" s="32">
        <f t="shared" si="0"/>
        <v>46299</v>
      </c>
      <c r="AR5" s="33">
        <f>AQ5+1</f>
        <v>46300</v>
      </c>
      <c r="AS5" s="31">
        <f>AR5+1</f>
        <v>46301</v>
      </c>
      <c r="AT5" s="31">
        <f t="shared" si="0"/>
        <v>46302</v>
      </c>
      <c r="AU5" s="31">
        <f t="shared" si="0"/>
        <v>46303</v>
      </c>
      <c r="AV5" s="31">
        <f t="shared" si="0"/>
        <v>46304</v>
      </c>
      <c r="AW5" s="31">
        <f t="shared" si="0"/>
        <v>46305</v>
      </c>
      <c r="AX5" s="32">
        <f t="shared" si="0"/>
        <v>46306</v>
      </c>
      <c r="AY5" s="33">
        <f>AX5+1</f>
        <v>46307</v>
      </c>
      <c r="AZ5" s="31">
        <f>AY5+1</f>
        <v>46308</v>
      </c>
      <c r="BA5" s="31">
        <f t="shared" ref="BA5:BE5" si="1">AZ5+1</f>
        <v>46309</v>
      </c>
      <c r="BB5" s="31">
        <f t="shared" si="1"/>
        <v>46310</v>
      </c>
      <c r="BC5" s="31">
        <f t="shared" si="1"/>
        <v>46311</v>
      </c>
      <c r="BD5" s="31">
        <f t="shared" si="1"/>
        <v>46312</v>
      </c>
      <c r="BE5" s="32">
        <f t="shared" si="1"/>
        <v>46313</v>
      </c>
      <c r="BF5" s="33">
        <f>BE5+1</f>
        <v>46314</v>
      </c>
      <c r="BG5" s="31">
        <f>BF5+1</f>
        <v>46315</v>
      </c>
      <c r="BH5" s="31">
        <f t="shared" ref="BH5:BL5" si="2">BG5+1</f>
        <v>46316</v>
      </c>
      <c r="BI5" s="31">
        <f t="shared" si="2"/>
        <v>46317</v>
      </c>
      <c r="BJ5" s="31">
        <f t="shared" si="2"/>
        <v>46318</v>
      </c>
      <c r="BK5" s="31">
        <f t="shared" si="2"/>
        <v>46319</v>
      </c>
      <c r="BL5" s="31">
        <f t="shared" si="2"/>
        <v>46320</v>
      </c>
    </row>
    <row r="6" spans="1:64" s="26" customFormat="1" ht="15" thickBot="1" x14ac:dyDescent="0.2">
      <c r="A6" s="102"/>
      <c r="B6" s="104"/>
      <c r="C6" s="106"/>
      <c r="D6" s="106"/>
      <c r="E6" s="106"/>
      <c r="F6" s="106"/>
      <c r="I6" s="34" t="str">
        <f t="shared" ref="I6:AN6" si="3">LEFT(TEXT(I5,"ddd"),1)</f>
        <v>M</v>
      </c>
      <c r="J6" s="35" t="str">
        <f t="shared" si="3"/>
        <v>T</v>
      </c>
      <c r="K6" s="35" t="str">
        <f t="shared" si="3"/>
        <v>W</v>
      </c>
      <c r="L6" s="35" t="str">
        <f t="shared" si="3"/>
        <v>T</v>
      </c>
      <c r="M6" s="35" t="str">
        <f t="shared" si="3"/>
        <v>F</v>
      </c>
      <c r="N6" s="35" t="str">
        <f t="shared" si="3"/>
        <v>S</v>
      </c>
      <c r="O6" s="35" t="str">
        <f t="shared" si="3"/>
        <v>S</v>
      </c>
      <c r="P6" s="35" t="str">
        <f t="shared" si="3"/>
        <v>M</v>
      </c>
      <c r="Q6" s="35" t="str">
        <f t="shared" si="3"/>
        <v>T</v>
      </c>
      <c r="R6" s="35" t="str">
        <f t="shared" si="3"/>
        <v>W</v>
      </c>
      <c r="S6" s="35" t="str">
        <f t="shared" si="3"/>
        <v>T</v>
      </c>
      <c r="T6" s="35" t="str">
        <f t="shared" si="3"/>
        <v>F</v>
      </c>
      <c r="U6" s="35" t="str">
        <f t="shared" si="3"/>
        <v>S</v>
      </c>
      <c r="V6" s="35" t="str">
        <f t="shared" si="3"/>
        <v>S</v>
      </c>
      <c r="W6" s="35" t="str">
        <f t="shared" si="3"/>
        <v>M</v>
      </c>
      <c r="X6" s="35" t="str">
        <f t="shared" si="3"/>
        <v>T</v>
      </c>
      <c r="Y6" s="35" t="str">
        <f t="shared" si="3"/>
        <v>W</v>
      </c>
      <c r="Z6" s="35" t="str">
        <f t="shared" si="3"/>
        <v>T</v>
      </c>
      <c r="AA6" s="35" t="str">
        <f t="shared" si="3"/>
        <v>F</v>
      </c>
      <c r="AB6" s="35" t="str">
        <f t="shared" si="3"/>
        <v>S</v>
      </c>
      <c r="AC6" s="35" t="str">
        <f t="shared" si="3"/>
        <v>S</v>
      </c>
      <c r="AD6" s="35" t="str">
        <f t="shared" si="3"/>
        <v>M</v>
      </c>
      <c r="AE6" s="35" t="str">
        <f t="shared" si="3"/>
        <v>T</v>
      </c>
      <c r="AF6" s="35" t="str">
        <f t="shared" si="3"/>
        <v>W</v>
      </c>
      <c r="AG6" s="35" t="str">
        <f t="shared" si="3"/>
        <v>T</v>
      </c>
      <c r="AH6" s="35" t="str">
        <f t="shared" si="3"/>
        <v>F</v>
      </c>
      <c r="AI6" s="35" t="str">
        <f t="shared" si="3"/>
        <v>S</v>
      </c>
      <c r="AJ6" s="35" t="str">
        <f t="shared" si="3"/>
        <v>S</v>
      </c>
      <c r="AK6" s="35" t="str">
        <f t="shared" si="3"/>
        <v>M</v>
      </c>
      <c r="AL6" s="35" t="str">
        <f t="shared" si="3"/>
        <v>T</v>
      </c>
      <c r="AM6" s="35" t="str">
        <f t="shared" si="3"/>
        <v>W</v>
      </c>
      <c r="AN6" s="35" t="str">
        <f t="shared" si="3"/>
        <v>T</v>
      </c>
      <c r="AO6" s="35" t="str">
        <f t="shared" ref="AO6:CR6" si="4">LEFT(TEXT(AO5,"ddd"),1)</f>
        <v>F</v>
      </c>
      <c r="AP6" s="35" t="str">
        <f t="shared" si="4"/>
        <v>S</v>
      </c>
      <c r="AQ6" s="35" t="str">
        <f t="shared" si="4"/>
        <v>S</v>
      </c>
      <c r="AR6" s="35" t="str">
        <f t="shared" si="4"/>
        <v>M</v>
      </c>
      <c r="AS6" s="35" t="str">
        <f t="shared" si="4"/>
        <v>T</v>
      </c>
      <c r="AT6" s="35" t="str">
        <f t="shared" si="4"/>
        <v>W</v>
      </c>
      <c r="AU6" s="35" t="str">
        <f t="shared" si="4"/>
        <v>T</v>
      </c>
      <c r="AV6" s="35" t="str">
        <f t="shared" si="4"/>
        <v>F</v>
      </c>
      <c r="AW6" s="35" t="str">
        <f t="shared" si="4"/>
        <v>S</v>
      </c>
      <c r="AX6" s="35" t="str">
        <f t="shared" si="4"/>
        <v>S</v>
      </c>
      <c r="AY6" s="35" t="str">
        <f t="shared" si="4"/>
        <v>M</v>
      </c>
      <c r="AZ6" s="35" t="str">
        <f t="shared" si="4"/>
        <v>T</v>
      </c>
      <c r="BA6" s="35" t="str">
        <f t="shared" si="4"/>
        <v>W</v>
      </c>
      <c r="BB6" s="35" t="str">
        <f t="shared" si="4"/>
        <v>T</v>
      </c>
      <c r="BC6" s="35" t="str">
        <f t="shared" si="4"/>
        <v>F</v>
      </c>
      <c r="BD6" s="35" t="str">
        <f t="shared" si="4"/>
        <v>S</v>
      </c>
      <c r="BE6" s="35" t="str">
        <f t="shared" si="4"/>
        <v>S</v>
      </c>
      <c r="BF6" s="35" t="str">
        <f t="shared" si="4"/>
        <v>M</v>
      </c>
      <c r="BG6" s="35" t="str">
        <f t="shared" si="4"/>
        <v>T</v>
      </c>
      <c r="BH6" s="35" t="str">
        <f t="shared" si="4"/>
        <v>W</v>
      </c>
      <c r="BI6" s="35" t="str">
        <f t="shared" si="4"/>
        <v>T</v>
      </c>
      <c r="BJ6" s="35" t="str">
        <f t="shared" si="4"/>
        <v>F</v>
      </c>
      <c r="BK6" s="35" t="str">
        <f t="shared" si="4"/>
        <v>S</v>
      </c>
      <c r="BL6" s="36" t="str">
        <f t="shared" si="4"/>
        <v>S</v>
      </c>
    </row>
    <row r="7" spans="1:64" s="26" customFormat="1" ht="30" hidden="1" customHeight="1" thickBot="1" x14ac:dyDescent="0.2">
      <c r="A7" s="13" t="s">
        <v>19</v>
      </c>
      <c r="B7" s="37"/>
      <c r="C7" s="38"/>
      <c r="D7" s="37"/>
      <c r="E7" s="37"/>
      <c r="F7" s="37"/>
      <c r="H7" s="26" t="str">
        <f>IF(OR(ISBLANK(task_start),ISBLANK(task_end)),"",task_end-task_start+1)</f>
        <v/>
      </c>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c r="BK7" s="39"/>
      <c r="BL7" s="39"/>
    </row>
    <row r="8" spans="1:64" s="46" customFormat="1" ht="30" customHeight="1" thickBot="1" x14ac:dyDescent="0.2">
      <c r="A8" s="14"/>
      <c r="B8" s="40" t="s">
        <v>28</v>
      </c>
      <c r="C8" s="41"/>
      <c r="D8" s="42"/>
      <c r="E8" s="43"/>
      <c r="F8" s="44"/>
      <c r="G8" s="17"/>
      <c r="H8" s="5" t="str">
        <f t="shared" ref="H8:H24" si="5">IF(OR(ISBLANK(task_start),ISBLANK(task_end)),"",task_end-task_start+1)</f>
        <v/>
      </c>
      <c r="I8" s="45"/>
      <c r="J8" s="45"/>
      <c r="K8" s="45"/>
      <c r="L8" s="45"/>
      <c r="M8" s="45"/>
      <c r="N8" s="45"/>
      <c r="O8" s="45"/>
      <c r="P8" s="45"/>
      <c r="Q8" s="45"/>
      <c r="R8" s="45"/>
      <c r="S8" s="45"/>
      <c r="T8" s="45"/>
      <c r="U8" s="45"/>
      <c r="V8" s="45"/>
      <c r="W8" s="45"/>
      <c r="X8" s="45"/>
      <c r="Y8" s="45"/>
      <c r="Z8" s="45"/>
      <c r="AA8" s="45"/>
      <c r="AB8" s="45"/>
      <c r="AC8" s="45"/>
      <c r="AD8" s="45"/>
      <c r="AE8" s="45"/>
      <c r="AF8" s="45"/>
      <c r="AG8" s="45"/>
      <c r="AH8" s="45"/>
      <c r="AI8" s="45"/>
      <c r="AJ8" s="45"/>
      <c r="AK8" s="45"/>
      <c r="AL8" s="45"/>
      <c r="AM8" s="45"/>
      <c r="AN8" s="45"/>
      <c r="AO8" s="45"/>
      <c r="AP8" s="45"/>
      <c r="AQ8" s="45"/>
      <c r="AR8" s="45"/>
      <c r="AS8" s="45"/>
      <c r="AT8" s="45"/>
      <c r="AU8" s="45"/>
      <c r="AV8" s="45"/>
      <c r="AW8" s="45"/>
      <c r="AX8" s="45"/>
      <c r="AY8" s="45"/>
      <c r="AZ8" s="45"/>
      <c r="BA8" s="45"/>
      <c r="BB8" s="45"/>
      <c r="BC8" s="45"/>
      <c r="BD8" s="45"/>
      <c r="BE8" s="45"/>
      <c r="BF8" s="45"/>
      <c r="BG8" s="45"/>
      <c r="BH8" s="45"/>
      <c r="BI8" s="45"/>
      <c r="BJ8" s="45"/>
      <c r="BK8" s="45"/>
      <c r="BL8" s="45"/>
    </row>
    <row r="9" spans="1:64" s="46" customFormat="1" ht="30" customHeight="1" thickBot="1" x14ac:dyDescent="0.2">
      <c r="A9" s="14"/>
      <c r="B9" s="47" t="s">
        <v>27</v>
      </c>
      <c r="C9" s="48" t="s">
        <v>25</v>
      </c>
      <c r="D9" s="49">
        <v>0.5</v>
      </c>
      <c r="E9" s="50">
        <f>Project_Start</f>
        <v>46268</v>
      </c>
      <c r="F9" s="50">
        <f>E9+22</f>
        <v>46290</v>
      </c>
      <c r="G9" s="17"/>
      <c r="H9" s="5">
        <f t="shared" si="5"/>
        <v>23</v>
      </c>
      <c r="I9" s="51"/>
      <c r="J9" s="51"/>
      <c r="K9" s="51"/>
      <c r="L9" s="51"/>
      <c r="M9" s="51"/>
      <c r="N9" s="51"/>
      <c r="O9" s="51"/>
      <c r="P9" s="51"/>
      <c r="Q9" s="51"/>
      <c r="R9" s="51"/>
      <c r="S9" s="51"/>
      <c r="T9" s="51"/>
      <c r="U9" s="51"/>
      <c r="V9" s="51"/>
      <c r="W9" s="51"/>
      <c r="X9" s="51"/>
      <c r="Y9" s="51"/>
      <c r="Z9" s="51"/>
      <c r="AA9" s="51"/>
      <c r="AB9" s="51"/>
      <c r="AC9" s="51"/>
      <c r="AD9" s="51"/>
      <c r="AE9" s="51"/>
      <c r="AF9" s="51"/>
      <c r="AG9" s="51"/>
      <c r="AH9" s="51"/>
      <c r="AI9" s="51"/>
      <c r="AJ9" s="51"/>
      <c r="AK9" s="51"/>
      <c r="AL9" s="51"/>
      <c r="AM9" s="51"/>
      <c r="AN9" s="51"/>
      <c r="AO9" s="51"/>
      <c r="AP9" s="51"/>
      <c r="AQ9" s="51"/>
      <c r="AR9" s="51"/>
      <c r="AS9" s="51"/>
      <c r="AT9" s="51"/>
      <c r="AU9" s="51"/>
      <c r="AV9" s="51"/>
      <c r="AW9" s="51"/>
      <c r="AX9" s="51"/>
      <c r="AY9" s="51"/>
      <c r="AZ9" s="51"/>
      <c r="BA9" s="51"/>
      <c r="BB9" s="51"/>
      <c r="BC9" s="51"/>
      <c r="BD9" s="51"/>
      <c r="BE9" s="51"/>
      <c r="BF9" s="51"/>
      <c r="BG9" s="51"/>
      <c r="BH9" s="51"/>
      <c r="BI9" s="51"/>
      <c r="BJ9" s="51"/>
      <c r="BK9" s="51"/>
      <c r="BL9" s="51"/>
    </row>
    <row r="10" spans="1:64" s="46" customFormat="1" ht="30" customHeight="1" thickBot="1" x14ac:dyDescent="0.2">
      <c r="A10" s="14"/>
      <c r="B10" s="53" t="s">
        <v>29</v>
      </c>
      <c r="C10" s="54"/>
      <c r="D10" s="55"/>
      <c r="E10" s="56"/>
      <c r="F10" s="57"/>
      <c r="G10" s="17"/>
      <c r="H10" s="5" t="str">
        <f t="shared" si="5"/>
        <v/>
      </c>
    </row>
    <row r="11" spans="1:64" s="46" customFormat="1" ht="30" customHeight="1" thickBot="1" x14ac:dyDescent="0.2">
      <c r="A11" s="13"/>
      <c r="B11" s="58" t="s">
        <v>30</v>
      </c>
      <c r="C11" s="59" t="s">
        <v>25</v>
      </c>
      <c r="D11" s="60">
        <v>0.5</v>
      </c>
      <c r="E11" s="61">
        <f>E9+2</f>
        <v>46270</v>
      </c>
      <c r="F11" s="61">
        <f>E11+35</f>
        <v>46305</v>
      </c>
      <c r="G11" s="17"/>
      <c r="H11" s="5">
        <f t="shared" si="5"/>
        <v>36</v>
      </c>
      <c r="I11" s="51"/>
      <c r="J11" s="51"/>
      <c r="K11" s="51"/>
      <c r="L11" s="51"/>
      <c r="M11" s="51"/>
      <c r="N11" s="51"/>
      <c r="O11" s="51"/>
      <c r="P11" s="51"/>
      <c r="Q11" s="51"/>
      <c r="R11" s="51"/>
      <c r="S11" s="51"/>
      <c r="T11" s="51"/>
      <c r="U11" s="52"/>
      <c r="V11" s="52"/>
      <c r="W11" s="51"/>
      <c r="X11" s="51"/>
      <c r="Y11" s="51"/>
      <c r="Z11" s="51"/>
      <c r="AA11" s="51"/>
      <c r="AB11" s="51"/>
      <c r="AC11" s="51"/>
      <c r="AD11" s="51"/>
      <c r="AE11" s="51"/>
      <c r="AF11" s="51"/>
      <c r="AG11" s="51"/>
      <c r="AH11" s="51"/>
      <c r="AI11" s="51"/>
      <c r="AJ11" s="51"/>
      <c r="AK11" s="51"/>
      <c r="AL11" s="51"/>
      <c r="AM11" s="51"/>
      <c r="AN11" s="51"/>
      <c r="AO11" s="51"/>
      <c r="AP11" s="51"/>
      <c r="AQ11" s="51"/>
      <c r="AR11" s="51"/>
      <c r="AS11" s="51"/>
      <c r="AT11" s="51"/>
      <c r="AU11" s="51"/>
      <c r="AV11" s="51"/>
      <c r="AW11" s="51"/>
      <c r="AX11" s="51"/>
      <c r="AY11" s="51"/>
      <c r="AZ11" s="51"/>
      <c r="BA11" s="51"/>
      <c r="BB11" s="51"/>
      <c r="BC11" s="51"/>
      <c r="BD11" s="51"/>
      <c r="BE11" s="51"/>
      <c r="BF11" s="51"/>
      <c r="BG11" s="51"/>
      <c r="BH11" s="51"/>
      <c r="BI11" s="51"/>
      <c r="BJ11" s="51"/>
      <c r="BK11" s="51"/>
      <c r="BL11" s="51"/>
    </row>
    <row r="12" spans="1:64" s="46" customFormat="1" ht="30" customHeight="1" thickBot="1" x14ac:dyDescent="0.2">
      <c r="A12" s="13"/>
      <c r="B12" s="58" t="s">
        <v>31</v>
      </c>
      <c r="C12" s="59" t="s">
        <v>25</v>
      </c>
      <c r="D12" s="60">
        <v>0.12</v>
      </c>
      <c r="E12" s="61">
        <f>F11+2</f>
        <v>46307</v>
      </c>
      <c r="F12" s="61">
        <f>E12+10</f>
        <v>46317</v>
      </c>
      <c r="G12" s="17"/>
      <c r="H12" s="5"/>
      <c r="I12" s="51"/>
      <c r="J12" s="51"/>
      <c r="K12" s="51"/>
      <c r="L12" s="51"/>
      <c r="M12" s="51"/>
      <c r="N12" s="51"/>
      <c r="O12" s="51"/>
      <c r="P12" s="51"/>
      <c r="Q12" s="51"/>
      <c r="R12" s="51"/>
      <c r="S12" s="51"/>
      <c r="T12" s="51"/>
      <c r="U12" s="52"/>
      <c r="V12" s="52"/>
      <c r="W12" s="51"/>
      <c r="X12" s="51"/>
      <c r="Y12" s="51"/>
      <c r="Z12" s="51"/>
      <c r="AA12" s="51"/>
      <c r="AB12" s="51"/>
      <c r="AC12" s="51"/>
      <c r="AD12" s="51"/>
      <c r="AE12" s="51"/>
      <c r="AF12" s="51"/>
      <c r="AG12" s="51"/>
      <c r="AH12" s="51"/>
      <c r="AI12" s="51"/>
      <c r="AJ12" s="51"/>
      <c r="AK12" s="51"/>
      <c r="AL12" s="51"/>
      <c r="AM12" s="51"/>
      <c r="AN12" s="51"/>
      <c r="AO12" s="51"/>
      <c r="AP12" s="51"/>
      <c r="AQ12" s="51"/>
      <c r="AR12" s="51"/>
      <c r="AS12" s="51"/>
      <c r="AT12" s="51"/>
      <c r="AU12" s="51"/>
      <c r="AV12" s="51"/>
      <c r="AW12" s="51"/>
      <c r="AX12" s="51"/>
      <c r="AY12" s="51"/>
      <c r="AZ12" s="51"/>
      <c r="BA12" s="51"/>
      <c r="BB12" s="51"/>
      <c r="BC12" s="51"/>
      <c r="BD12" s="51"/>
      <c r="BE12" s="51"/>
      <c r="BF12" s="51"/>
      <c r="BG12" s="51"/>
      <c r="BH12" s="51"/>
      <c r="BI12" s="51"/>
      <c r="BJ12" s="51"/>
      <c r="BK12" s="51"/>
      <c r="BL12" s="51"/>
    </row>
    <row r="13" spans="1:64" s="46" customFormat="1" ht="30" customHeight="1" thickBot="1" x14ac:dyDescent="0.2">
      <c r="A13" s="13"/>
      <c r="B13" s="58" t="s">
        <v>32</v>
      </c>
      <c r="C13" s="59" t="s">
        <v>25</v>
      </c>
      <c r="D13" s="60">
        <v>0</v>
      </c>
      <c r="E13" s="61">
        <f>F12+2</f>
        <v>46319</v>
      </c>
      <c r="F13" s="61">
        <f t="shared" ref="F13:F17" si="6">E13+10</f>
        <v>46329</v>
      </c>
      <c r="G13" s="17"/>
      <c r="H13" s="5"/>
      <c r="I13" s="51"/>
      <c r="J13" s="51"/>
      <c r="K13" s="51"/>
      <c r="L13" s="51"/>
      <c r="M13" s="51"/>
      <c r="N13" s="51"/>
      <c r="O13" s="51"/>
      <c r="P13" s="51"/>
      <c r="Q13" s="51"/>
      <c r="R13" s="51"/>
      <c r="S13" s="51"/>
      <c r="T13" s="51"/>
      <c r="U13" s="52"/>
      <c r="V13" s="52"/>
      <c r="W13" s="51"/>
      <c r="X13" s="51"/>
      <c r="Y13" s="51"/>
      <c r="Z13" s="51"/>
      <c r="AA13" s="51"/>
      <c r="AB13" s="51"/>
      <c r="AC13" s="51"/>
      <c r="AD13" s="51"/>
      <c r="AE13" s="51"/>
      <c r="AF13" s="51"/>
      <c r="AG13" s="51"/>
      <c r="AH13" s="51"/>
      <c r="AI13" s="51"/>
      <c r="AJ13" s="51"/>
      <c r="AK13" s="51"/>
      <c r="AL13" s="51"/>
      <c r="AM13" s="51"/>
      <c r="AN13" s="51"/>
      <c r="AO13" s="51"/>
      <c r="AP13" s="51"/>
      <c r="AQ13" s="51"/>
      <c r="AR13" s="51"/>
      <c r="AS13" s="51"/>
      <c r="AT13" s="51"/>
      <c r="AU13" s="51"/>
      <c r="AV13" s="51"/>
      <c r="AW13" s="51"/>
      <c r="AX13" s="51"/>
      <c r="AY13" s="51"/>
      <c r="AZ13" s="51"/>
      <c r="BA13" s="51"/>
      <c r="BB13" s="51"/>
      <c r="BC13" s="51"/>
      <c r="BD13" s="51"/>
      <c r="BE13" s="51"/>
      <c r="BF13" s="51"/>
      <c r="BG13" s="51"/>
      <c r="BH13" s="51"/>
      <c r="BI13" s="51"/>
      <c r="BJ13" s="51"/>
      <c r="BK13" s="51"/>
      <c r="BL13" s="51"/>
    </row>
    <row r="14" spans="1:64" s="46" customFormat="1" ht="30" customHeight="1" thickBot="1" x14ac:dyDescent="0.2">
      <c r="A14" s="13"/>
      <c r="B14" s="58" t="s">
        <v>33</v>
      </c>
      <c r="C14" s="59" t="s">
        <v>25</v>
      </c>
      <c r="D14" s="60">
        <v>0</v>
      </c>
      <c r="E14" s="61">
        <f>F13+2</f>
        <v>46331</v>
      </c>
      <c r="F14" s="61">
        <f t="shared" si="6"/>
        <v>46341</v>
      </c>
      <c r="G14" s="17"/>
      <c r="H14" s="5"/>
      <c r="I14" s="51"/>
      <c r="J14" s="51"/>
      <c r="K14" s="51"/>
      <c r="L14" s="51"/>
      <c r="M14" s="51"/>
      <c r="N14" s="51"/>
      <c r="O14" s="51"/>
      <c r="P14" s="51"/>
      <c r="Q14" s="51"/>
      <c r="R14" s="51"/>
      <c r="S14" s="51"/>
      <c r="T14" s="51"/>
      <c r="U14" s="52"/>
      <c r="V14" s="52"/>
      <c r="W14" s="51"/>
      <c r="X14" s="51"/>
      <c r="Y14" s="51"/>
      <c r="Z14" s="51"/>
      <c r="AA14" s="51"/>
      <c r="AB14" s="51"/>
      <c r="AC14" s="51"/>
      <c r="AD14" s="51"/>
      <c r="AE14" s="51"/>
      <c r="AF14" s="51"/>
      <c r="AG14" s="51"/>
      <c r="AH14" s="51"/>
      <c r="AI14" s="51"/>
      <c r="AJ14" s="51"/>
      <c r="AK14" s="51"/>
      <c r="AL14" s="51"/>
      <c r="AM14" s="51"/>
      <c r="AN14" s="51"/>
      <c r="AO14" s="51"/>
      <c r="AP14" s="51"/>
      <c r="AQ14" s="51"/>
      <c r="AR14" s="51"/>
      <c r="AS14" s="51"/>
      <c r="AT14" s="51"/>
      <c r="AU14" s="51"/>
      <c r="AV14" s="51"/>
      <c r="AW14" s="51"/>
      <c r="AX14" s="51"/>
      <c r="AY14" s="51"/>
      <c r="AZ14" s="51"/>
      <c r="BA14" s="51"/>
      <c r="BB14" s="51"/>
      <c r="BC14" s="51"/>
      <c r="BD14" s="51"/>
      <c r="BE14" s="51"/>
      <c r="BF14" s="51"/>
      <c r="BG14" s="51"/>
      <c r="BH14" s="51"/>
      <c r="BI14" s="51"/>
      <c r="BJ14" s="51"/>
      <c r="BK14" s="51"/>
      <c r="BL14" s="51"/>
    </row>
    <row r="15" spans="1:64" s="46" customFormat="1" ht="30" customHeight="1" thickBot="1" x14ac:dyDescent="0.2">
      <c r="A15" s="13"/>
      <c r="B15" s="58" t="s">
        <v>34</v>
      </c>
      <c r="C15" s="59" t="s">
        <v>25</v>
      </c>
      <c r="D15" s="60">
        <v>0</v>
      </c>
      <c r="E15" s="61">
        <f t="shared" ref="E15:E17" si="7">F14+2</f>
        <v>46343</v>
      </c>
      <c r="F15" s="61">
        <f t="shared" si="6"/>
        <v>46353</v>
      </c>
      <c r="G15" s="17"/>
      <c r="H15" s="5">
        <f t="shared" si="5"/>
        <v>11</v>
      </c>
      <c r="I15" s="51"/>
      <c r="J15" s="51"/>
      <c r="K15" s="51"/>
      <c r="L15" s="51"/>
      <c r="M15" s="51"/>
      <c r="N15" s="51"/>
      <c r="O15" s="51"/>
      <c r="P15" s="51"/>
      <c r="Q15" s="51"/>
      <c r="R15" s="51"/>
      <c r="S15" s="51"/>
      <c r="T15" s="51"/>
      <c r="U15" s="51"/>
      <c r="V15" s="51"/>
      <c r="W15" s="51"/>
      <c r="X15" s="51"/>
      <c r="Y15" s="51"/>
      <c r="Z15" s="51"/>
      <c r="AA15" s="51"/>
      <c r="AB15" s="51"/>
      <c r="AC15" s="51"/>
      <c r="AD15" s="51"/>
      <c r="AE15" s="51"/>
      <c r="AF15" s="51"/>
      <c r="AG15" s="51"/>
      <c r="AH15" s="51"/>
      <c r="AI15" s="51"/>
      <c r="AJ15" s="51"/>
      <c r="AK15" s="51"/>
      <c r="AL15" s="51"/>
      <c r="AM15" s="51"/>
      <c r="AN15" s="51"/>
      <c r="AO15" s="51"/>
      <c r="AP15" s="51"/>
      <c r="AQ15" s="51"/>
      <c r="AR15" s="51"/>
      <c r="AS15" s="51"/>
      <c r="AT15" s="51"/>
      <c r="AU15" s="51"/>
      <c r="AV15" s="51"/>
      <c r="AW15" s="51"/>
      <c r="AX15" s="51"/>
      <c r="AY15" s="51"/>
      <c r="AZ15" s="51"/>
      <c r="BA15" s="51"/>
      <c r="BB15" s="51"/>
      <c r="BC15" s="51"/>
      <c r="BD15" s="51"/>
      <c r="BE15" s="51"/>
      <c r="BF15" s="51"/>
      <c r="BG15" s="51"/>
      <c r="BH15" s="51"/>
      <c r="BI15" s="51"/>
      <c r="BJ15" s="51"/>
      <c r="BK15" s="51"/>
      <c r="BL15" s="51"/>
    </row>
    <row r="16" spans="1:64" s="46" customFormat="1" ht="30" customHeight="1" thickBot="1" x14ac:dyDescent="0.2">
      <c r="A16" s="13"/>
      <c r="B16" s="58" t="s">
        <v>35</v>
      </c>
      <c r="C16" s="59" t="s">
        <v>25</v>
      </c>
      <c r="D16" s="60">
        <v>0</v>
      </c>
      <c r="E16" s="61">
        <f t="shared" si="7"/>
        <v>46355</v>
      </c>
      <c r="F16" s="61">
        <f t="shared" si="6"/>
        <v>46365</v>
      </c>
      <c r="G16" s="17"/>
      <c r="H16" s="5">
        <f t="shared" si="5"/>
        <v>11</v>
      </c>
      <c r="I16" s="51"/>
      <c r="J16" s="51"/>
      <c r="K16" s="51"/>
      <c r="L16" s="51"/>
      <c r="M16" s="51"/>
      <c r="N16" s="51"/>
      <c r="O16" s="51"/>
      <c r="P16" s="51"/>
      <c r="Q16" s="51"/>
      <c r="R16" s="51"/>
      <c r="S16" s="51"/>
      <c r="T16" s="51"/>
      <c r="U16" s="51"/>
      <c r="V16" s="51"/>
      <c r="W16" s="51"/>
      <c r="X16" s="51"/>
      <c r="Y16" s="52"/>
      <c r="Z16" s="51"/>
      <c r="AA16" s="51"/>
      <c r="AB16" s="51"/>
      <c r="AC16" s="51"/>
      <c r="AD16" s="51"/>
      <c r="AE16" s="51"/>
      <c r="AF16" s="51"/>
      <c r="AG16" s="51"/>
      <c r="AH16" s="51"/>
      <c r="AI16" s="51"/>
      <c r="AJ16" s="51"/>
      <c r="AK16" s="51"/>
      <c r="AL16" s="51"/>
      <c r="AM16" s="51"/>
      <c r="AN16" s="51"/>
      <c r="AO16" s="51"/>
      <c r="AP16" s="51"/>
      <c r="AQ16" s="51"/>
      <c r="AR16" s="51"/>
      <c r="AS16" s="51"/>
      <c r="AT16" s="51"/>
      <c r="AU16" s="51"/>
      <c r="AV16" s="51"/>
      <c r="AW16" s="51"/>
      <c r="AX16" s="51"/>
      <c r="AY16" s="51"/>
      <c r="AZ16" s="51"/>
      <c r="BA16" s="51"/>
      <c r="BB16" s="51"/>
      <c r="BC16" s="51"/>
      <c r="BD16" s="51"/>
      <c r="BE16" s="51"/>
      <c r="BF16" s="51"/>
      <c r="BG16" s="51"/>
      <c r="BH16" s="51"/>
      <c r="BI16" s="51"/>
      <c r="BJ16" s="51"/>
      <c r="BK16" s="51"/>
      <c r="BL16" s="51"/>
    </row>
    <row r="17" spans="1:64" s="46" customFormat="1" ht="30" customHeight="1" thickBot="1" x14ac:dyDescent="0.2">
      <c r="A17" s="13"/>
      <c r="B17" s="58" t="s">
        <v>36</v>
      </c>
      <c r="C17" s="59" t="s">
        <v>25</v>
      </c>
      <c r="D17" s="60">
        <v>0</v>
      </c>
      <c r="E17" s="61">
        <f t="shared" si="7"/>
        <v>46367</v>
      </c>
      <c r="F17" s="61">
        <f t="shared" si="6"/>
        <v>46377</v>
      </c>
      <c r="G17" s="17"/>
      <c r="H17" s="5">
        <f t="shared" si="5"/>
        <v>11</v>
      </c>
      <c r="I17" s="51"/>
      <c r="J17" s="51"/>
      <c r="K17" s="51"/>
      <c r="L17" s="51"/>
      <c r="M17" s="51"/>
      <c r="N17" s="51"/>
      <c r="O17" s="51"/>
      <c r="P17" s="51"/>
      <c r="Q17" s="51"/>
      <c r="R17" s="51"/>
      <c r="S17" s="51"/>
      <c r="T17" s="51"/>
      <c r="U17" s="51"/>
      <c r="V17" s="51"/>
      <c r="W17" s="51"/>
      <c r="X17" s="51"/>
      <c r="Y17" s="51"/>
      <c r="Z17" s="51"/>
      <c r="AA17" s="51"/>
      <c r="AB17" s="51"/>
      <c r="AC17" s="51"/>
      <c r="AD17" s="51"/>
      <c r="AE17" s="51"/>
      <c r="AF17" s="51"/>
      <c r="AG17" s="51"/>
      <c r="AH17" s="51"/>
      <c r="AI17" s="51"/>
      <c r="AJ17" s="51"/>
      <c r="AK17" s="51"/>
      <c r="AL17" s="51"/>
      <c r="AM17" s="51"/>
      <c r="AN17" s="51"/>
      <c r="AO17" s="51"/>
      <c r="AP17" s="51"/>
      <c r="AQ17" s="51"/>
      <c r="AR17" s="51"/>
      <c r="AS17" s="51"/>
      <c r="AT17" s="51"/>
      <c r="AU17" s="51"/>
      <c r="AV17" s="51"/>
      <c r="AW17" s="51"/>
      <c r="AX17" s="51"/>
      <c r="AY17" s="51"/>
      <c r="AZ17" s="51"/>
      <c r="BA17" s="51"/>
      <c r="BB17" s="51"/>
      <c r="BC17" s="51"/>
      <c r="BD17" s="51"/>
      <c r="BE17" s="51"/>
      <c r="BF17" s="51"/>
      <c r="BG17" s="51"/>
      <c r="BH17" s="51"/>
      <c r="BI17" s="51"/>
      <c r="BJ17" s="51"/>
      <c r="BK17" s="51"/>
      <c r="BL17" s="51"/>
    </row>
    <row r="18" spans="1:64" s="46" customFormat="1" ht="30" customHeight="1" thickBot="1" x14ac:dyDescent="0.2">
      <c r="A18" s="13"/>
      <c r="B18" s="62" t="s">
        <v>34</v>
      </c>
      <c r="C18" s="63"/>
      <c r="D18" s="64"/>
      <c r="E18" s="65"/>
      <c r="F18" s="66"/>
      <c r="G18" s="17"/>
      <c r="H18" s="5" t="str">
        <f t="shared" si="5"/>
        <v/>
      </c>
      <c r="I18" s="67"/>
      <c r="J18" s="67"/>
      <c r="K18" s="67"/>
      <c r="L18" s="67"/>
      <c r="M18" s="67"/>
      <c r="N18" s="67"/>
      <c r="O18" s="67"/>
      <c r="P18" s="67"/>
      <c r="Q18" s="67"/>
      <c r="R18" s="67"/>
      <c r="S18" s="67"/>
      <c r="T18" s="67"/>
      <c r="U18" s="67"/>
      <c r="V18" s="67"/>
      <c r="W18" s="67"/>
      <c r="X18" s="67"/>
      <c r="Y18" s="67"/>
      <c r="Z18" s="67"/>
      <c r="AA18" s="67"/>
      <c r="AB18" s="67"/>
      <c r="AC18" s="67"/>
      <c r="AD18" s="67"/>
      <c r="AE18" s="67"/>
      <c r="AF18" s="67"/>
      <c r="AG18" s="67"/>
      <c r="AH18" s="67"/>
      <c r="AI18" s="67"/>
      <c r="AJ18" s="67"/>
      <c r="AK18" s="67"/>
      <c r="AL18" s="67"/>
      <c r="AM18" s="67"/>
      <c r="AN18" s="67"/>
      <c r="AO18" s="67"/>
      <c r="AP18" s="67"/>
      <c r="AQ18" s="67"/>
      <c r="AR18" s="67"/>
      <c r="AS18" s="67"/>
      <c r="AT18" s="67"/>
      <c r="AU18" s="67"/>
      <c r="AV18" s="67"/>
      <c r="AW18" s="67"/>
      <c r="AX18" s="67"/>
      <c r="AY18" s="67"/>
      <c r="AZ18" s="67"/>
      <c r="BA18" s="67"/>
      <c r="BB18" s="67"/>
      <c r="BC18" s="67"/>
      <c r="BD18" s="67"/>
      <c r="BE18" s="67"/>
      <c r="BF18" s="67"/>
      <c r="BG18" s="67"/>
      <c r="BH18" s="67"/>
      <c r="BI18" s="67"/>
      <c r="BJ18" s="67"/>
      <c r="BK18" s="67"/>
      <c r="BL18" s="67"/>
    </row>
    <row r="19" spans="1:64" s="46" customFormat="1" ht="30" customHeight="1" thickBot="1" x14ac:dyDescent="0.2">
      <c r="A19" s="13"/>
      <c r="B19" s="68" t="s">
        <v>37</v>
      </c>
      <c r="C19" s="69" t="s">
        <v>25</v>
      </c>
      <c r="D19" s="70">
        <v>0</v>
      </c>
      <c r="E19" s="71">
        <f>E9+15</f>
        <v>46283</v>
      </c>
      <c r="F19" s="71">
        <f>E19+5</f>
        <v>46288</v>
      </c>
      <c r="G19" s="17"/>
      <c r="H19" s="5">
        <f t="shared" si="5"/>
        <v>6</v>
      </c>
      <c r="I19" s="51"/>
      <c r="J19" s="51"/>
      <c r="K19" s="51"/>
      <c r="L19" s="51"/>
      <c r="M19" s="51"/>
      <c r="N19" s="51"/>
      <c r="O19" s="51"/>
      <c r="P19" s="51"/>
      <c r="Q19" s="51"/>
      <c r="R19" s="51"/>
      <c r="S19" s="51"/>
      <c r="T19" s="51"/>
      <c r="U19" s="51"/>
      <c r="V19" s="51"/>
      <c r="W19" s="51"/>
      <c r="X19" s="51"/>
      <c r="Y19" s="51"/>
      <c r="Z19" s="51"/>
      <c r="AA19" s="51"/>
      <c r="AB19" s="51"/>
      <c r="AC19" s="51"/>
      <c r="AD19" s="51"/>
      <c r="AE19" s="51"/>
      <c r="AF19" s="51"/>
      <c r="AG19" s="51"/>
      <c r="AH19" s="51"/>
      <c r="AI19" s="51"/>
      <c r="AJ19" s="51"/>
      <c r="AK19" s="51"/>
      <c r="AL19" s="51"/>
      <c r="AM19" s="51"/>
      <c r="AN19" s="51"/>
      <c r="AO19" s="51"/>
      <c r="AP19" s="51"/>
      <c r="AQ19" s="51"/>
      <c r="AR19" s="51"/>
      <c r="AS19" s="51"/>
      <c r="AT19" s="51"/>
      <c r="AU19" s="51"/>
      <c r="AV19" s="51"/>
      <c r="AW19" s="51"/>
      <c r="AX19" s="51"/>
      <c r="AY19" s="51"/>
      <c r="AZ19" s="51"/>
      <c r="BA19" s="51"/>
      <c r="BB19" s="51"/>
      <c r="BC19" s="51"/>
      <c r="BD19" s="51"/>
      <c r="BE19" s="51"/>
      <c r="BF19" s="51"/>
      <c r="BG19" s="51"/>
      <c r="BH19" s="51"/>
      <c r="BI19" s="51"/>
      <c r="BJ19" s="51"/>
      <c r="BK19" s="51"/>
      <c r="BL19" s="51"/>
    </row>
    <row r="20" spans="1:64" s="46" customFormat="1" ht="30" customHeight="1" thickBot="1" x14ac:dyDescent="0.2">
      <c r="A20" s="13"/>
      <c r="B20" s="68" t="s">
        <v>38</v>
      </c>
      <c r="C20" s="69" t="s">
        <v>25</v>
      </c>
      <c r="D20" s="70">
        <v>0</v>
      </c>
      <c r="E20" s="71">
        <f>F19+1</f>
        <v>46289</v>
      </c>
      <c r="F20" s="71">
        <f>E20+4</f>
        <v>46293</v>
      </c>
      <c r="G20" s="17"/>
      <c r="H20" s="5">
        <f t="shared" si="5"/>
        <v>5</v>
      </c>
      <c r="I20" s="51"/>
      <c r="J20" s="51"/>
      <c r="K20" s="51"/>
      <c r="L20" s="51"/>
      <c r="M20" s="51"/>
      <c r="N20" s="51"/>
      <c r="O20" s="51"/>
      <c r="P20" s="51"/>
      <c r="Q20" s="51"/>
      <c r="R20" s="51"/>
      <c r="S20" s="51"/>
      <c r="T20" s="51"/>
      <c r="U20" s="51"/>
      <c r="V20" s="51"/>
      <c r="W20" s="51"/>
      <c r="X20" s="51"/>
      <c r="Y20" s="51"/>
      <c r="Z20" s="51"/>
      <c r="AA20" s="51"/>
      <c r="AB20" s="51"/>
      <c r="AC20" s="51"/>
      <c r="AD20" s="51"/>
      <c r="AE20" s="51"/>
      <c r="AF20" s="51"/>
      <c r="AG20" s="51"/>
      <c r="AH20" s="51"/>
      <c r="AI20" s="51"/>
      <c r="AJ20" s="51"/>
      <c r="AK20" s="51"/>
      <c r="AL20" s="51"/>
      <c r="AM20" s="51"/>
      <c r="AN20" s="51"/>
      <c r="AO20" s="51"/>
      <c r="AP20" s="51"/>
      <c r="AQ20" s="51"/>
      <c r="AR20" s="51"/>
      <c r="AS20" s="51"/>
      <c r="AT20" s="51"/>
      <c r="AU20" s="51"/>
      <c r="AV20" s="51"/>
      <c r="AW20" s="51"/>
      <c r="AX20" s="51"/>
      <c r="AY20" s="51"/>
      <c r="AZ20" s="51"/>
      <c r="BA20" s="51"/>
      <c r="BB20" s="51"/>
      <c r="BC20" s="51"/>
      <c r="BD20" s="51"/>
      <c r="BE20" s="51"/>
      <c r="BF20" s="51"/>
      <c r="BG20" s="51"/>
      <c r="BH20" s="51"/>
      <c r="BI20" s="51"/>
      <c r="BJ20" s="51"/>
      <c r="BK20" s="51"/>
      <c r="BL20" s="51"/>
    </row>
    <row r="21" spans="1:64" s="46" customFormat="1" ht="30" customHeight="1" thickBot="1" x14ac:dyDescent="0.2">
      <c r="A21" s="13"/>
      <c r="B21" s="72" t="s">
        <v>23</v>
      </c>
      <c r="C21" s="73"/>
      <c r="D21" s="74"/>
      <c r="E21" s="75"/>
      <c r="F21" s="76"/>
      <c r="G21" s="17"/>
      <c r="H21" s="5" t="str">
        <f t="shared" si="5"/>
        <v/>
      </c>
      <c r="I21" s="77"/>
      <c r="J21" s="77"/>
      <c r="K21" s="77"/>
      <c r="L21" s="77"/>
      <c r="M21" s="77"/>
      <c r="N21" s="77"/>
      <c r="O21" s="77"/>
      <c r="P21" s="77"/>
      <c r="Q21" s="77"/>
      <c r="R21" s="77"/>
      <c r="S21" s="77"/>
      <c r="T21" s="77"/>
      <c r="U21" s="77"/>
      <c r="V21" s="77"/>
      <c r="W21" s="77"/>
      <c r="X21" s="77"/>
      <c r="Y21" s="77"/>
      <c r="Z21" s="77"/>
      <c r="AA21" s="77"/>
      <c r="AB21" s="77"/>
      <c r="AC21" s="77"/>
      <c r="AD21" s="77"/>
      <c r="AE21" s="77"/>
      <c r="AF21" s="77"/>
      <c r="AG21" s="77"/>
      <c r="AH21" s="77"/>
      <c r="AI21" s="77"/>
      <c r="AJ21" s="77"/>
      <c r="AK21" s="77"/>
      <c r="AL21" s="77"/>
      <c r="AM21" s="77"/>
      <c r="AN21" s="77"/>
      <c r="AO21" s="77"/>
      <c r="AP21" s="77"/>
      <c r="AQ21" s="77"/>
      <c r="AR21" s="77"/>
      <c r="AS21" s="77"/>
      <c r="AT21" s="77"/>
      <c r="AU21" s="77"/>
      <c r="AV21" s="77"/>
      <c r="AW21" s="77"/>
      <c r="AX21" s="77"/>
      <c r="AY21" s="77"/>
      <c r="AZ21" s="77"/>
      <c r="BA21" s="77"/>
      <c r="BB21" s="77"/>
      <c r="BC21" s="77"/>
      <c r="BD21" s="77"/>
      <c r="BE21" s="77"/>
      <c r="BF21" s="77"/>
      <c r="BG21" s="77"/>
      <c r="BH21" s="77"/>
      <c r="BI21" s="77"/>
      <c r="BJ21" s="77"/>
      <c r="BK21" s="77"/>
      <c r="BL21" s="77"/>
    </row>
    <row r="22" spans="1:64" s="46" customFormat="1" ht="30" customHeight="1" thickBot="1" x14ac:dyDescent="0.2">
      <c r="A22" s="13"/>
      <c r="B22" s="78" t="s">
        <v>39</v>
      </c>
      <c r="C22" s="79" t="s">
        <v>25</v>
      </c>
      <c r="D22" s="80">
        <v>0</v>
      </c>
      <c r="E22" s="81">
        <f>E19+2</f>
        <v>46285</v>
      </c>
      <c r="F22" s="81">
        <f>E22+3</f>
        <v>46288</v>
      </c>
      <c r="G22" s="17"/>
      <c r="H22" s="5">
        <f t="shared" si="5"/>
        <v>4</v>
      </c>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c r="AO22" s="51"/>
      <c r="AP22" s="51"/>
      <c r="AQ22" s="51"/>
      <c r="AR22" s="51"/>
      <c r="AS22" s="51"/>
      <c r="AT22" s="51"/>
      <c r="AU22" s="51"/>
      <c r="AV22" s="51"/>
      <c r="AW22" s="51"/>
      <c r="AX22" s="51"/>
      <c r="AY22" s="51"/>
      <c r="AZ22" s="51"/>
      <c r="BA22" s="51"/>
      <c r="BB22" s="51"/>
      <c r="BC22" s="51"/>
      <c r="BD22" s="51"/>
      <c r="BE22" s="51"/>
      <c r="BF22" s="51"/>
      <c r="BG22" s="51"/>
      <c r="BH22" s="51"/>
      <c r="BI22" s="51"/>
      <c r="BJ22" s="51"/>
      <c r="BK22" s="51"/>
      <c r="BL22" s="51"/>
    </row>
    <row r="23" spans="1:64" s="46" customFormat="1" ht="30" customHeight="1" thickBot="1" x14ac:dyDescent="0.2">
      <c r="A23" s="13"/>
      <c r="B23" s="82"/>
      <c r="C23" s="83"/>
      <c r="D23" s="84"/>
      <c r="E23" s="85"/>
      <c r="F23" s="85"/>
      <c r="G23" s="17"/>
      <c r="H23" s="5" t="str">
        <f t="shared" si="5"/>
        <v/>
      </c>
      <c r="I23" s="45"/>
      <c r="J23" s="45"/>
      <c r="K23" s="45"/>
      <c r="L23" s="45"/>
      <c r="M23" s="45"/>
      <c r="N23" s="45"/>
      <c r="O23" s="45"/>
      <c r="P23" s="45"/>
      <c r="Q23" s="45"/>
      <c r="R23" s="45"/>
      <c r="S23" s="45"/>
      <c r="T23" s="45"/>
      <c r="U23" s="45"/>
      <c r="V23" s="45"/>
      <c r="W23" s="45"/>
      <c r="X23" s="45"/>
      <c r="Y23" s="45"/>
      <c r="Z23" s="45"/>
      <c r="AA23" s="45"/>
      <c r="AB23" s="45"/>
      <c r="AC23" s="45"/>
      <c r="AD23" s="45"/>
      <c r="AE23" s="45"/>
      <c r="AF23" s="45"/>
      <c r="AG23" s="45"/>
      <c r="AH23" s="45"/>
      <c r="AI23" s="45"/>
      <c r="AJ23" s="45"/>
      <c r="AK23" s="45"/>
      <c r="AL23" s="45"/>
      <c r="AM23" s="45"/>
      <c r="AN23" s="45"/>
      <c r="AO23" s="45"/>
      <c r="AP23" s="45"/>
      <c r="AQ23" s="45"/>
      <c r="AR23" s="45"/>
      <c r="AS23" s="45"/>
      <c r="AT23" s="45"/>
      <c r="AU23" s="45"/>
      <c r="AV23" s="45"/>
      <c r="AW23" s="45"/>
      <c r="AX23" s="45"/>
      <c r="AY23" s="45"/>
      <c r="AZ23" s="45"/>
      <c r="BA23" s="45"/>
      <c r="BB23" s="45"/>
      <c r="BC23" s="45"/>
      <c r="BD23" s="45"/>
      <c r="BE23" s="45"/>
      <c r="BF23" s="45"/>
      <c r="BG23" s="45"/>
      <c r="BH23" s="45"/>
      <c r="BI23" s="45"/>
      <c r="BJ23" s="45"/>
      <c r="BK23" s="45"/>
      <c r="BL23" s="45"/>
    </row>
    <row r="24" spans="1:64" s="46" customFormat="1" ht="30" customHeight="1" thickBot="1" x14ac:dyDescent="0.2">
      <c r="A24" s="14"/>
      <c r="B24" s="86" t="s">
        <v>0</v>
      </c>
      <c r="C24" s="87"/>
      <c r="D24" s="88"/>
      <c r="E24" s="89"/>
      <c r="F24" s="90"/>
      <c r="G24" s="17"/>
      <c r="H24" s="6" t="str">
        <f t="shared" si="5"/>
        <v/>
      </c>
      <c r="I24" s="91"/>
      <c r="J24" s="91"/>
      <c r="K24" s="91"/>
      <c r="L24" s="91"/>
      <c r="M24" s="91"/>
      <c r="N24" s="91"/>
      <c r="O24" s="91"/>
      <c r="P24" s="91"/>
      <c r="Q24" s="91"/>
      <c r="R24" s="91"/>
      <c r="S24" s="91"/>
      <c r="T24" s="91"/>
      <c r="U24" s="91"/>
      <c r="V24" s="91"/>
      <c r="W24" s="91"/>
      <c r="X24" s="91"/>
      <c r="Y24" s="91"/>
      <c r="Z24" s="91"/>
      <c r="AA24" s="91"/>
      <c r="AB24" s="91"/>
      <c r="AC24" s="91"/>
      <c r="AD24" s="91"/>
      <c r="AE24" s="91"/>
      <c r="AF24" s="91"/>
      <c r="AG24" s="91"/>
      <c r="AH24" s="91"/>
      <c r="AI24" s="91"/>
      <c r="AJ24" s="91"/>
      <c r="AK24" s="91"/>
      <c r="AL24" s="91"/>
      <c r="AM24" s="91"/>
      <c r="AN24" s="91"/>
      <c r="AO24" s="91"/>
      <c r="AP24" s="91"/>
      <c r="AQ24" s="91"/>
      <c r="AR24" s="91"/>
      <c r="AS24" s="91"/>
      <c r="AT24" s="91"/>
      <c r="AU24" s="91"/>
      <c r="AV24" s="91"/>
      <c r="AW24" s="91"/>
      <c r="AX24" s="91"/>
      <c r="AY24" s="91"/>
      <c r="AZ24" s="91"/>
      <c r="BA24" s="91"/>
      <c r="BB24" s="91"/>
      <c r="BC24" s="91"/>
      <c r="BD24" s="91"/>
      <c r="BE24" s="91"/>
      <c r="BF24" s="91"/>
      <c r="BG24" s="91"/>
      <c r="BH24" s="91"/>
      <c r="BI24" s="91"/>
      <c r="BJ24" s="91"/>
      <c r="BK24" s="91"/>
      <c r="BL24" s="91"/>
    </row>
    <row r="25" spans="1:64" ht="30" customHeight="1" x14ac:dyDescent="0.15">
      <c r="G25" s="3"/>
    </row>
    <row r="26" spans="1:64" ht="30" customHeight="1" x14ac:dyDescent="0.15">
      <c r="C26" s="16"/>
      <c r="F26" s="15"/>
    </row>
    <row r="27" spans="1:64" ht="30" customHeight="1" x14ac:dyDescent="0.15">
      <c r="C27" s="4"/>
    </row>
  </sheetData>
  <mergeCells count="18">
    <mergeCell ref="BF4:BL4"/>
    <mergeCell ref="I4:O4"/>
    <mergeCell ref="P4:V4"/>
    <mergeCell ref="W4:AC4"/>
    <mergeCell ref="AD4:AJ4"/>
    <mergeCell ref="AK4:AQ4"/>
    <mergeCell ref="AR4:AX4"/>
    <mergeCell ref="AY4:BE4"/>
    <mergeCell ref="F5:F6"/>
    <mergeCell ref="Q2:Z2"/>
    <mergeCell ref="Q1:Z1"/>
    <mergeCell ref="I1:O1"/>
    <mergeCell ref="I2:O2"/>
    <mergeCell ref="A5:A6"/>
    <mergeCell ref="B5:B6"/>
    <mergeCell ref="C5:C6"/>
    <mergeCell ref="D5:D6"/>
    <mergeCell ref="E5:E6"/>
  </mergeCells>
  <conditionalFormatting sqref="D7:D24">
    <cfRule type="dataBar" priority="23">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I4:BL22">
    <cfRule type="expression" dxfId="13" priority="1">
      <formula>AND(TODAY()&gt;=I$5, TODAY()&lt;J$5)</formula>
    </cfRule>
  </conditionalFormatting>
  <conditionalFormatting sqref="I9:BL9">
    <cfRule type="expression" dxfId="7" priority="6">
      <formula>AND(task_start&lt;=I$5,ROUNDDOWN((task_end-task_start+1)*task_progress,0)+task_start-1&gt;=I$5)</formula>
    </cfRule>
    <cfRule type="expression" dxfId="6" priority="7" stopIfTrue="1">
      <formula>AND(task_end&gt;=I$5,task_start&lt;J$5)</formula>
    </cfRule>
  </conditionalFormatting>
  <conditionalFormatting sqref="I11:BL17">
    <cfRule type="expression" dxfId="12" priority="4">
      <formula>AND(task_start&lt;=I$5,ROUNDDOWN((task_end-task_start+1)*task_progress,0)+task_start-1&gt;=I$5)</formula>
    </cfRule>
    <cfRule type="expression" dxfId="11" priority="5" stopIfTrue="1">
      <formula>AND(task_end&gt;=I$5,task_start&lt;J$5)</formula>
    </cfRule>
  </conditionalFormatting>
  <conditionalFormatting sqref="I19:BL20">
    <cfRule type="expression" dxfId="10" priority="2">
      <formula>AND(task_start&lt;=I$5,ROUNDDOWN((task_end-task_start+1)*task_progress,0)+task_start-1&gt;=I$5)</formula>
    </cfRule>
    <cfRule type="expression" dxfId="9" priority="3" stopIfTrue="1">
      <formula>AND(task_end&gt;=I$5,task_start&lt;J$5)</formula>
    </cfRule>
  </conditionalFormatting>
  <conditionalFormatting sqref="I22:BL22">
    <cfRule type="expression" dxfId="1" priority="36">
      <formula>AND(task_start&lt;=I$5,ROUNDDOWN((task_end-task_start+1)*task_progress,0)+task_start-1&gt;=I$5)</formula>
    </cfRule>
    <cfRule type="expression" dxfId="0" priority="37" stopIfTrue="1">
      <formula>AND(task_end&gt;=I$5,task_start&lt;J$5)</formula>
    </cfRule>
  </conditionalFormatting>
  <dataValidations count="12">
    <dataValidation type="whole" operator="greaterThanOrEqual" allowBlank="1" showInputMessage="1" promptTitle="Display Week" prompt="Changing this number will scroll the Gantt Chart view." sqref="Q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D870A2F6-6B07-4F5A-A81D-4BCCFADF8796}"/>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0" xr:uid="{4F48FC41-E335-47F1-87AA-3333A52AD81C}"/>
    <dataValidation allowBlank="1" showInputMessage="1" showErrorMessage="1" prompt="Phase 3's sample block starts in cell B20." sqref="A18" xr:uid="{956902D1-D3B5-416D-BB69-9362D193BC0A}"/>
    <dataValidation allowBlank="1" showInputMessage="1" showErrorMessage="1" prompt="Phase 4's sample block starts in cell B26." sqref="A21" xr:uid="{DE54E5DE-526D-4D71-8D03-E99B4AB2FEE5}"/>
    <dataValidation allowBlank="1" showInputMessage="1" showErrorMessage="1" prompt="This row marks the end of the Project Schedule. DO NOT enter anything in this row. _x000a_Insert new rows ABOVE this one to continue building out your Project Schedule." sqref="A24" xr:uid="{79B9237E-4DD3-4E0F-8ED6-E0B695A99D96}"/>
  </dataValidations>
  <printOptions horizontalCentered="1"/>
  <pageMargins left="0.35" right="0.35" top="0.35" bottom="0.5" header="0.3" footer="0.3"/>
  <pageSetup scale="57" fitToHeight="0" orientation="landscape" r:id="rId1"/>
  <headerFooter differentFirst="1" scaleWithDoc="0">
    <oddFooter>Page &amp;P of &amp;N</oddFooter>
  </headerFooter>
  <ignoredErrors>
    <ignoredError sqref="F20" formula="1"/>
  </ignoredErrors>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D7:D24</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showGridLines="0" zoomScaleNormal="100" workbookViewId="0"/>
  </sheetViews>
  <sheetFormatPr baseColWidth="10" defaultColWidth="9" defaultRowHeight="13" x14ac:dyDescent="0.15"/>
  <cols>
    <col min="1" max="1" width="87" style="7" customWidth="1"/>
    <col min="2" max="16384" width="9" style="1"/>
  </cols>
  <sheetData>
    <row r="1" spans="1:2" ht="46.5" customHeight="1" x14ac:dyDescent="0.15"/>
    <row r="2" spans="1:2" s="9" customFormat="1" ht="16" x14ac:dyDescent="0.15">
      <c r="A2" s="95" t="s">
        <v>8</v>
      </c>
      <c r="B2" s="8"/>
    </row>
    <row r="3" spans="1:2" s="11" customFormat="1" ht="27" customHeight="1" x14ac:dyDescent="0.15">
      <c r="A3" s="96"/>
      <c r="B3" s="12"/>
    </row>
    <row r="4" spans="1:2" s="10" customFormat="1" ht="31" x14ac:dyDescent="0.45">
      <c r="A4" s="97" t="s">
        <v>7</v>
      </c>
    </row>
    <row r="5" spans="1:2" ht="74.25" customHeight="1" x14ac:dyDescent="0.15">
      <c r="A5" s="98" t="s">
        <v>15</v>
      </c>
    </row>
    <row r="6" spans="1:2" ht="26.25" customHeight="1" x14ac:dyDescent="0.15">
      <c r="A6" s="97" t="s">
        <v>18</v>
      </c>
    </row>
    <row r="7" spans="1:2" s="7" customFormat="1" ht="205" customHeight="1" x14ac:dyDescent="0.15">
      <c r="A7" s="99" t="s">
        <v>17</v>
      </c>
    </row>
    <row r="8" spans="1:2" s="10" customFormat="1" ht="31" x14ac:dyDescent="0.45">
      <c r="A8" s="97" t="s">
        <v>9</v>
      </c>
    </row>
    <row r="9" spans="1:2" ht="60" x14ac:dyDescent="0.15">
      <c r="A9" s="98" t="s">
        <v>16</v>
      </c>
    </row>
    <row r="10" spans="1:2" s="7" customFormat="1" ht="28" customHeight="1" x14ac:dyDescent="0.15">
      <c r="A10" s="100" t="s">
        <v>14</v>
      </c>
    </row>
    <row r="11" spans="1:2" s="10" customFormat="1" ht="31" x14ac:dyDescent="0.45">
      <c r="A11" s="97" t="s">
        <v>6</v>
      </c>
    </row>
    <row r="12" spans="1:2" ht="30" x14ac:dyDescent="0.15">
      <c r="A12" s="98" t="s">
        <v>13</v>
      </c>
    </row>
    <row r="13" spans="1:2" s="7" customFormat="1" ht="28" customHeight="1" x14ac:dyDescent="0.15">
      <c r="A13" s="100" t="s">
        <v>2</v>
      </c>
    </row>
    <row r="14" spans="1:2" s="10" customFormat="1" ht="31" x14ac:dyDescent="0.45">
      <c r="A14" s="97" t="s">
        <v>10</v>
      </c>
    </row>
    <row r="15" spans="1:2" ht="75" customHeight="1" x14ac:dyDescent="0.15">
      <c r="A15" s="98" t="s">
        <v>11</v>
      </c>
    </row>
    <row r="16" spans="1:2" ht="75" x14ac:dyDescent="0.15">
      <c r="A16" s="98" t="s">
        <v>12</v>
      </c>
    </row>
    <row r="17" spans="1:1" x14ac:dyDescent="0.15">
      <c r="A17" s="101"/>
    </row>
    <row r="18" spans="1:1" x14ac:dyDescent="0.15">
      <c r="A18" s="101"/>
    </row>
    <row r="19" spans="1:1" x14ac:dyDescent="0.15">
      <c r="A19" s="101"/>
    </row>
    <row r="20" spans="1:1" x14ac:dyDescent="0.15">
      <c r="A20" s="101"/>
    </row>
    <row r="21" spans="1:1" x14ac:dyDescent="0.15">
      <c r="A21" s="101"/>
    </row>
    <row r="22" spans="1:1" x14ac:dyDescent="0.15">
      <c r="A22" s="101"/>
    </row>
    <row r="23" spans="1:1" x14ac:dyDescent="0.15">
      <c r="A23" s="101"/>
    </row>
    <row r="24" spans="1:1" x14ac:dyDescent="0.15">
      <c r="A24" s="101"/>
    </row>
  </sheetData>
  <hyperlinks>
    <hyperlink ref="A13" r:id="rId1" xr:uid="{00000000-0004-0000-0100-000000000000}"/>
    <hyperlink ref="A10" r:id="rId2" xr:uid="{00000000-0004-0000-0100-000001000000}"/>
    <hyperlink ref="A2" r:id="rId3" xr:uid="{00000000-0004-0000-0100-000003000000}"/>
  </hyperlinks>
  <pageMargins left="0.5" right="0.5" top="0.5" bottom="0.5" header="0.3" footer="0.3"/>
  <pageSetup orientation="portrait"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97245281-08F3-4104-84BD-39F3D8CFB195}">
  <ds:schemaRefs>
    <ds:schemaRef ds:uri="http://schemas.microsoft.com/sharepoint/v3/contenttype/forms"/>
  </ds:schemaRefs>
</ds:datastoreItem>
</file>

<file path=customXml/itemProps2.xml><?xml version="1.0" encoding="utf-8"?>
<ds:datastoreItem xmlns:ds="http://schemas.openxmlformats.org/officeDocument/2006/customXml" ds:itemID="{A09426A3-87E9-4865-8A6C-3456B026AE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82239A0-E68C-493F-BEE6-C77FEA397FD6}">
  <ds:schemaRefs>
    <ds:schemaRef ds:uri="http://purl.org/dc/elements/1.1/"/>
    <ds:schemaRef ds:uri="16c05727-aa75-4e4a-9b5f-8a80a1165891"/>
    <ds:schemaRef ds:uri="http://schemas.microsoft.com/sharepoint/v3"/>
    <ds:schemaRef ds:uri="http://schemas.microsoft.com/office/2006/documentManagement/types"/>
    <ds:schemaRef ds:uri="http://schemas.microsoft.com/office/infopath/2007/PartnerControls"/>
    <ds:schemaRef ds:uri="http://purl.org/dc/dcmitype/"/>
    <ds:schemaRef ds:uri="http://schemas.openxmlformats.org/package/2006/metadata/core-properties"/>
    <ds:schemaRef ds:uri="230e9df3-be65-4c73-a93b-d1236ebd677e"/>
    <ds:schemaRef ds:uri="http://schemas.microsoft.com/office/2006/metadata/properties"/>
    <ds:schemaRef ds:uri="71af3243-3dd4-4a8d-8c0d-dd76da1f02a5"/>
    <ds:schemaRef ds:uri="http://www.w3.org/XML/1998/namespace"/>
    <ds:schemaRef ds:uri="http://purl.org/dc/terms/"/>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Macintosh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Project schedule</vt:lpstr>
      <vt:lpstr>About</vt:lpstr>
      <vt:lpstr>Display_Week</vt:lpstr>
      <vt:lpstr>'Project schedule'!Print_Titles</vt:lpstr>
      <vt:lpstr>Project_Start</vt:lpstr>
      <vt:lpstr>'Project schedule'!task_end</vt:lpstr>
      <vt:lpstr>'Project schedule'!task_progress</vt:lpstr>
      <vt:lpstr>'Project schedule'!task_start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Dung Phan</dc:creator>
  <dc:description/>
  <cp:lastModifiedBy>Dung Phan</cp:lastModifiedBy>
  <dcterms:created xsi:type="dcterms:W3CDTF">2022-03-11T22:41:12Z</dcterms:created>
  <dcterms:modified xsi:type="dcterms:W3CDTF">2026-09-14T12:30:11Z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